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/>
  <mc:AlternateContent xmlns:mc="http://schemas.openxmlformats.org/markup-compatibility/2006">
    <mc:Choice Requires="x15">
      <x15ac:absPath xmlns:x15ac="http://schemas.microsoft.com/office/spreadsheetml/2010/11/ac" url="D:\Documents\AUDENCIA 2024 2025 2026\COURS 2025 2026\PORTFOLIO MANAGEMENT\PROJECT\"/>
    </mc:Choice>
  </mc:AlternateContent>
  <xr:revisionPtr revIDLastSave="0" documentId="8_{45DAF19B-F915-4C50-A7F6-E5DDD35A9576}" xr6:coauthVersionLast="47" xr6:coauthVersionMax="47" xr10:uidLastSave="{00000000-0000-0000-0000-000000000000}"/>
  <bookViews>
    <workbookView xWindow="-120" yWindow="-120" windowWidth="29040" windowHeight="15720" firstSheet="8" activeTab="8" xr2:uid="{00000000-000D-0000-FFFF-FFFF00000000}"/>
  </bookViews>
  <sheets>
    <sheet name="Historical Data" sheetId="2" r:id="rId1"/>
    <sheet name="Expected Return" sheetId="3" r:id="rId2"/>
    <sheet name="Standart Deviation" sheetId="5" r:id="rId3"/>
    <sheet name="Ratios" sheetId="11" r:id="rId4"/>
    <sheet name="Fact Sheet 1" sheetId="13" r:id="rId5"/>
    <sheet name="Fact Sheet 2" sheetId="14" r:id="rId6"/>
    <sheet name="Var-covar Matrix" sheetId="10" r:id="rId7"/>
    <sheet name="Efficient portfolio frontier" sheetId="6" r:id="rId8"/>
    <sheet name="ESG Analysis" sheetId="15" r:id="rId9"/>
  </sheets>
  <definedNames>
    <definedName name="_xlnm._FilterDatabase" localSheetId="4" hidden="1">'Fact Sheet 1'!$C$4:$C$13</definedName>
    <definedName name="AAPL1">'Expected Return'!$B$3:$B$63</definedName>
    <definedName name="AMZN1">'Expected Return'!$C$3:$C$63</definedName>
    <definedName name="AVGO1">'Expected Return'!$D$3:$D$63</definedName>
    <definedName name="GOOGL1">'Expected Return'!$E$3:$E$63</definedName>
    <definedName name="Mastercard">'Expected Return'!$F$3:$F$63</definedName>
    <definedName name="Means">'Efficient portfolio frontier'!$Q$16:$Q$25</definedName>
    <definedName name="Meta1">'Expected Return'!$G$3:$G$63</definedName>
    <definedName name="MSFT1">'Expected Return'!$H$3:$H$63</definedName>
    <definedName name="NVDA1">'Expected Return'!$I$3:$I$63</definedName>
    <definedName name="ORCL1">'Expected Return'!$J$3:$J$63</definedName>
    <definedName name="solver_adj" localSheetId="7" hidden="1">'Efficient portfolio frontier'!$T$16:$AC$16</definedName>
    <definedName name="solver_cvg" localSheetId="7" hidden="1">0.0001</definedName>
    <definedName name="solver_drv" localSheetId="7" hidden="1">2</definedName>
    <definedName name="solver_eng" localSheetId="5" hidden="1">0</definedName>
    <definedName name="solver_eng" localSheetId="7" hidden="1">1</definedName>
    <definedName name="solver_eng" localSheetId="8" hidden="1">0</definedName>
    <definedName name="solver_est" localSheetId="7" hidden="1">1</definedName>
    <definedName name="solver_itr" localSheetId="7" hidden="1">2147483647</definedName>
    <definedName name="solver_lhs1" localSheetId="7" hidden="1">'Efficient portfolio frontier'!$AG$16</definedName>
    <definedName name="solver_lhs1" localSheetId="8" hidden="1">'ESG Analysis'!$N$15</definedName>
    <definedName name="solver_lhs3" localSheetId="7" hidden="1">'ESG Analysis'!$N$15</definedName>
    <definedName name="solver_lhs4" localSheetId="7" hidden="1">'ESG Analysis'!$P$15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8" hidden="1">1</definedName>
    <definedName name="solver_num" localSheetId="7" hidden="1">3</definedName>
    <definedName name="solver_nwt" localSheetId="7" hidden="1">1</definedName>
    <definedName name="solver_opt" localSheetId="7" hidden="1">'Efficient portfolio frontier'!$AF$20</definedName>
    <definedName name="solver_pre" localSheetId="7" hidden="1">0.000001</definedName>
    <definedName name="solver_rbv" localSheetId="7" hidden="1">2</definedName>
    <definedName name="solver_rel1" localSheetId="7" hidden="1">2</definedName>
    <definedName name="solver_rel1" localSheetId="8" hidden="1">1</definedName>
    <definedName name="solver_rel2" localSheetId="7" hidden="1">1</definedName>
    <definedName name="solver_rel3" localSheetId="7" hidden="1">1</definedName>
    <definedName name="solver_rel4" localSheetId="7" hidden="1">1</definedName>
    <definedName name="solver_rhs1" localSheetId="7" hidden="1">1</definedName>
    <definedName name="solver_rhs2" localSheetId="7" hidden="1">30</definedName>
    <definedName name="solver_rhs3" localSheetId="7" hidden="1">30</definedName>
    <definedName name="solver_rhs4" localSheetId="7" hidden="1">0.03</definedName>
    <definedName name="solver_rlx" localSheetId="7" hidden="1">2</definedName>
    <definedName name="solver_rsd" localSheetId="7" hidden="1">0</definedName>
    <definedName name="solver_rxc1" localSheetId="8" hidden="1">1</definedName>
    <definedName name="solver_rxv" localSheetId="7" hidden="1">1</definedName>
    <definedName name="solver_scl" localSheetId="7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  <definedName name="TSLA1">'Expected Return'!$K$3:$K$63</definedName>
    <definedName name="varcov">'Efficient portfolio frontier'!$E$16:$N$25</definedName>
    <definedName name="Weeights">'Efficient portfolio frontier'!#REF!</definedName>
    <definedName name="Weights">'Efficient portfolio frontier'!$T$16:$AC$16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M22" i="15"/>
  <c r="M21" i="15"/>
  <c r="M19" i="15"/>
  <c r="M20" i="15"/>
  <c r="O6" i="15"/>
  <c r="O7" i="15"/>
  <c r="O8" i="15"/>
  <c r="O9" i="15"/>
  <c r="O10" i="15"/>
  <c r="O11" i="15"/>
  <c r="O12" i="15"/>
  <c r="O13" i="15"/>
  <c r="O14" i="15"/>
  <c r="O5" i="15"/>
  <c r="P5" i="15" s="1"/>
  <c r="P6" i="15"/>
  <c r="P7" i="15"/>
  <c r="P8" i="15"/>
  <c r="P9" i="15"/>
  <c r="P10" i="15"/>
  <c r="P11" i="15"/>
  <c r="P12" i="15"/>
  <c r="P13" i="15"/>
  <c r="P14" i="15"/>
  <c r="N5" i="15"/>
  <c r="N13" i="15"/>
  <c r="N7" i="15"/>
  <c r="N6" i="15"/>
  <c r="N8" i="15"/>
  <c r="N9" i="15"/>
  <c r="N10" i="15"/>
  <c r="N11" i="15"/>
  <c r="N12" i="15"/>
  <c r="N14" i="15"/>
  <c r="N3" i="3"/>
  <c r="AE9" i="14"/>
  <c r="AF9" i="14"/>
  <c r="AG9" i="14"/>
  <c r="AE10" i="14"/>
  <c r="AF10" i="14"/>
  <c r="AG10" i="14"/>
  <c r="AE11" i="14"/>
  <c r="AF11" i="14"/>
  <c r="AG11" i="14"/>
  <c r="AE12" i="14"/>
  <c r="AF12" i="14"/>
  <c r="AG12" i="14"/>
  <c r="AE13" i="14"/>
  <c r="AF13" i="14"/>
  <c r="AG13" i="14"/>
  <c r="AG14" i="14" s="1"/>
  <c r="AE14" i="14"/>
  <c r="AF14" i="14"/>
  <c r="AD9" i="14"/>
  <c r="AD10" i="14" s="1"/>
  <c r="AD11" i="14" s="1"/>
  <c r="AD12" i="14" s="1"/>
  <c r="AD13" i="14" s="1"/>
  <c r="AD14" i="14" s="1"/>
  <c r="B3" i="14"/>
  <c r="C3" i="14"/>
  <c r="D3" i="14"/>
  <c r="E3" i="14"/>
  <c r="F3" i="14"/>
  <c r="G3" i="14"/>
  <c r="H3" i="14"/>
  <c r="I3" i="14"/>
  <c r="J3" i="14"/>
  <c r="K3" i="14"/>
  <c r="B4" i="14"/>
  <c r="C4" i="14"/>
  <c r="D4" i="14"/>
  <c r="E4" i="14"/>
  <c r="F4" i="14"/>
  <c r="G4" i="14"/>
  <c r="H4" i="14"/>
  <c r="I4" i="14"/>
  <c r="J4" i="14"/>
  <c r="K4" i="14"/>
  <c r="B5" i="14"/>
  <c r="C5" i="14"/>
  <c r="D5" i="14"/>
  <c r="E5" i="14"/>
  <c r="F5" i="14"/>
  <c r="G5" i="14"/>
  <c r="H5" i="14"/>
  <c r="I5" i="14"/>
  <c r="J5" i="14"/>
  <c r="K5" i="14"/>
  <c r="B6" i="14"/>
  <c r="C6" i="14"/>
  <c r="D6" i="14"/>
  <c r="E6" i="14"/>
  <c r="F6" i="14"/>
  <c r="G6" i="14"/>
  <c r="H6" i="14"/>
  <c r="I6" i="14"/>
  <c r="J6" i="14"/>
  <c r="K6" i="14"/>
  <c r="B7" i="14"/>
  <c r="C7" i="14"/>
  <c r="D7" i="14"/>
  <c r="E7" i="14"/>
  <c r="F7" i="14"/>
  <c r="G7" i="14"/>
  <c r="H7" i="14"/>
  <c r="I7" i="14"/>
  <c r="J7" i="14"/>
  <c r="K7" i="14"/>
  <c r="B8" i="14"/>
  <c r="C8" i="14"/>
  <c r="D8" i="14"/>
  <c r="E8" i="14"/>
  <c r="F8" i="14"/>
  <c r="G8" i="14"/>
  <c r="H8" i="14"/>
  <c r="I8" i="14"/>
  <c r="J8" i="14"/>
  <c r="K8" i="14"/>
  <c r="B9" i="14"/>
  <c r="C9" i="14"/>
  <c r="D9" i="14"/>
  <c r="E9" i="14"/>
  <c r="F9" i="14"/>
  <c r="G9" i="14"/>
  <c r="H9" i="14"/>
  <c r="I9" i="14"/>
  <c r="J9" i="14"/>
  <c r="K9" i="14"/>
  <c r="B10" i="14"/>
  <c r="C10" i="14"/>
  <c r="D10" i="14"/>
  <c r="E10" i="14"/>
  <c r="F10" i="14"/>
  <c r="G10" i="14"/>
  <c r="H10" i="14"/>
  <c r="I10" i="14"/>
  <c r="J10" i="14"/>
  <c r="K10" i="14"/>
  <c r="B11" i="14"/>
  <c r="C11" i="14"/>
  <c r="D11" i="14"/>
  <c r="E11" i="14"/>
  <c r="F11" i="14"/>
  <c r="G11" i="14"/>
  <c r="H11" i="14"/>
  <c r="I11" i="14"/>
  <c r="J11" i="14"/>
  <c r="K11" i="14"/>
  <c r="B12" i="14"/>
  <c r="C12" i="14"/>
  <c r="D12" i="14"/>
  <c r="E12" i="14"/>
  <c r="F12" i="14"/>
  <c r="G12" i="14"/>
  <c r="H12" i="14"/>
  <c r="I12" i="14"/>
  <c r="J12" i="14"/>
  <c r="K12" i="14"/>
  <c r="B13" i="14"/>
  <c r="C13" i="14"/>
  <c r="D13" i="14"/>
  <c r="E13" i="14"/>
  <c r="F13" i="14"/>
  <c r="G13" i="14"/>
  <c r="H13" i="14"/>
  <c r="I13" i="14"/>
  <c r="J13" i="14"/>
  <c r="K13" i="14"/>
  <c r="B14" i="14"/>
  <c r="C14" i="14"/>
  <c r="D14" i="14"/>
  <c r="E14" i="14"/>
  <c r="F14" i="14"/>
  <c r="G14" i="14"/>
  <c r="H14" i="14"/>
  <c r="I14" i="14"/>
  <c r="J14" i="14"/>
  <c r="K14" i="14"/>
  <c r="B15" i="14"/>
  <c r="C15" i="14"/>
  <c r="D15" i="14"/>
  <c r="E15" i="14"/>
  <c r="F15" i="14"/>
  <c r="G15" i="14"/>
  <c r="H15" i="14"/>
  <c r="I15" i="14"/>
  <c r="J15" i="14"/>
  <c r="K15" i="14"/>
  <c r="B16" i="14"/>
  <c r="C16" i="14"/>
  <c r="D16" i="14"/>
  <c r="E16" i="14"/>
  <c r="F16" i="14"/>
  <c r="G16" i="14"/>
  <c r="H16" i="14"/>
  <c r="I16" i="14"/>
  <c r="J16" i="14"/>
  <c r="K16" i="14"/>
  <c r="B17" i="14"/>
  <c r="C17" i="14"/>
  <c r="D17" i="14"/>
  <c r="E17" i="14"/>
  <c r="F17" i="14"/>
  <c r="G17" i="14"/>
  <c r="H17" i="14"/>
  <c r="I17" i="14"/>
  <c r="J17" i="14"/>
  <c r="K17" i="14"/>
  <c r="B18" i="14"/>
  <c r="C18" i="14"/>
  <c r="D18" i="14"/>
  <c r="E18" i="14"/>
  <c r="F18" i="14"/>
  <c r="G18" i="14"/>
  <c r="H18" i="14"/>
  <c r="I18" i="14"/>
  <c r="J18" i="14"/>
  <c r="K18" i="14"/>
  <c r="B19" i="14"/>
  <c r="C19" i="14"/>
  <c r="D19" i="14"/>
  <c r="E19" i="14"/>
  <c r="F19" i="14"/>
  <c r="G19" i="14"/>
  <c r="H19" i="14"/>
  <c r="I19" i="14"/>
  <c r="J19" i="14"/>
  <c r="K19" i="14"/>
  <c r="B20" i="14"/>
  <c r="C20" i="14"/>
  <c r="D20" i="14"/>
  <c r="E20" i="14"/>
  <c r="F20" i="14"/>
  <c r="G20" i="14"/>
  <c r="H20" i="14"/>
  <c r="I20" i="14"/>
  <c r="J20" i="14"/>
  <c r="K20" i="14"/>
  <c r="B21" i="14"/>
  <c r="C21" i="14"/>
  <c r="D21" i="14"/>
  <c r="E21" i="14"/>
  <c r="F21" i="14"/>
  <c r="G21" i="14"/>
  <c r="H21" i="14"/>
  <c r="I21" i="14"/>
  <c r="J21" i="14"/>
  <c r="K21" i="14"/>
  <c r="B22" i="14"/>
  <c r="C22" i="14"/>
  <c r="D22" i="14"/>
  <c r="E22" i="14"/>
  <c r="F22" i="14"/>
  <c r="G22" i="14"/>
  <c r="H22" i="14"/>
  <c r="I22" i="14"/>
  <c r="J22" i="14"/>
  <c r="K22" i="14"/>
  <c r="B23" i="14"/>
  <c r="C23" i="14"/>
  <c r="D23" i="14"/>
  <c r="E23" i="14"/>
  <c r="F23" i="14"/>
  <c r="G23" i="14"/>
  <c r="H23" i="14"/>
  <c r="I23" i="14"/>
  <c r="J23" i="14"/>
  <c r="K23" i="14"/>
  <c r="B24" i="14"/>
  <c r="C24" i="14"/>
  <c r="D24" i="14"/>
  <c r="E24" i="14"/>
  <c r="F24" i="14"/>
  <c r="G24" i="14"/>
  <c r="H24" i="14"/>
  <c r="I24" i="14"/>
  <c r="J24" i="14"/>
  <c r="K24" i="14"/>
  <c r="B25" i="14"/>
  <c r="C25" i="14"/>
  <c r="D25" i="14"/>
  <c r="E25" i="14"/>
  <c r="F25" i="14"/>
  <c r="G25" i="14"/>
  <c r="H25" i="14"/>
  <c r="I25" i="14"/>
  <c r="J25" i="14"/>
  <c r="K25" i="14"/>
  <c r="B26" i="14"/>
  <c r="C26" i="14"/>
  <c r="D26" i="14"/>
  <c r="E26" i="14"/>
  <c r="F26" i="14"/>
  <c r="G26" i="14"/>
  <c r="H26" i="14"/>
  <c r="I26" i="14"/>
  <c r="J26" i="14"/>
  <c r="K26" i="14"/>
  <c r="B27" i="14"/>
  <c r="C27" i="14"/>
  <c r="D27" i="14"/>
  <c r="E27" i="14"/>
  <c r="F27" i="14"/>
  <c r="G27" i="14"/>
  <c r="H27" i="14"/>
  <c r="I27" i="14"/>
  <c r="J27" i="14"/>
  <c r="K27" i="14"/>
  <c r="B28" i="14"/>
  <c r="C28" i="14"/>
  <c r="D28" i="14"/>
  <c r="E28" i="14"/>
  <c r="F28" i="14"/>
  <c r="G28" i="14"/>
  <c r="H28" i="14"/>
  <c r="I28" i="14"/>
  <c r="J28" i="14"/>
  <c r="K28" i="14"/>
  <c r="B29" i="14"/>
  <c r="C29" i="14"/>
  <c r="D29" i="14"/>
  <c r="E29" i="14"/>
  <c r="F29" i="14"/>
  <c r="G29" i="14"/>
  <c r="H29" i="14"/>
  <c r="I29" i="14"/>
  <c r="J29" i="14"/>
  <c r="K29" i="14"/>
  <c r="B30" i="14"/>
  <c r="C30" i="14"/>
  <c r="D30" i="14"/>
  <c r="E30" i="14"/>
  <c r="F30" i="14"/>
  <c r="G30" i="14"/>
  <c r="H30" i="14"/>
  <c r="I30" i="14"/>
  <c r="J30" i="14"/>
  <c r="K30" i="14"/>
  <c r="B31" i="14"/>
  <c r="C31" i="14"/>
  <c r="D31" i="14"/>
  <c r="E31" i="14"/>
  <c r="F31" i="14"/>
  <c r="G31" i="14"/>
  <c r="H31" i="14"/>
  <c r="I31" i="14"/>
  <c r="J31" i="14"/>
  <c r="K31" i="14"/>
  <c r="B32" i="14"/>
  <c r="C32" i="14"/>
  <c r="D32" i="14"/>
  <c r="E32" i="14"/>
  <c r="F32" i="14"/>
  <c r="G32" i="14"/>
  <c r="H32" i="14"/>
  <c r="I32" i="14"/>
  <c r="J32" i="14"/>
  <c r="K32" i="14"/>
  <c r="B33" i="14"/>
  <c r="C33" i="14"/>
  <c r="D33" i="14"/>
  <c r="E33" i="14"/>
  <c r="F33" i="14"/>
  <c r="G33" i="14"/>
  <c r="H33" i="14"/>
  <c r="I33" i="14"/>
  <c r="J33" i="14"/>
  <c r="K33" i="14"/>
  <c r="B34" i="14"/>
  <c r="C34" i="14"/>
  <c r="D34" i="14"/>
  <c r="E34" i="14"/>
  <c r="F34" i="14"/>
  <c r="G34" i="14"/>
  <c r="H34" i="14"/>
  <c r="I34" i="14"/>
  <c r="J34" i="14"/>
  <c r="K34" i="14"/>
  <c r="B35" i="14"/>
  <c r="C35" i="14"/>
  <c r="D35" i="14"/>
  <c r="E35" i="14"/>
  <c r="F35" i="14"/>
  <c r="G35" i="14"/>
  <c r="H35" i="14"/>
  <c r="I35" i="14"/>
  <c r="J35" i="14"/>
  <c r="K35" i="14"/>
  <c r="B36" i="14"/>
  <c r="C36" i="14"/>
  <c r="D36" i="14"/>
  <c r="E36" i="14"/>
  <c r="F36" i="14"/>
  <c r="G36" i="14"/>
  <c r="H36" i="14"/>
  <c r="I36" i="14"/>
  <c r="J36" i="14"/>
  <c r="K36" i="14"/>
  <c r="B37" i="14"/>
  <c r="C37" i="14"/>
  <c r="D37" i="14"/>
  <c r="E37" i="14"/>
  <c r="F37" i="14"/>
  <c r="G37" i="14"/>
  <c r="H37" i="14"/>
  <c r="I37" i="14"/>
  <c r="J37" i="14"/>
  <c r="K37" i="14"/>
  <c r="B38" i="14"/>
  <c r="C38" i="14"/>
  <c r="D38" i="14"/>
  <c r="E38" i="14"/>
  <c r="F38" i="14"/>
  <c r="G38" i="14"/>
  <c r="H38" i="14"/>
  <c r="I38" i="14"/>
  <c r="J38" i="14"/>
  <c r="K38" i="14"/>
  <c r="B39" i="14"/>
  <c r="C39" i="14"/>
  <c r="D39" i="14"/>
  <c r="E39" i="14"/>
  <c r="F39" i="14"/>
  <c r="G39" i="14"/>
  <c r="H39" i="14"/>
  <c r="I39" i="14"/>
  <c r="J39" i="14"/>
  <c r="K39" i="14"/>
  <c r="B40" i="14"/>
  <c r="C40" i="14"/>
  <c r="D40" i="14"/>
  <c r="E40" i="14"/>
  <c r="F40" i="14"/>
  <c r="G40" i="14"/>
  <c r="H40" i="14"/>
  <c r="I40" i="14"/>
  <c r="J40" i="14"/>
  <c r="K40" i="14"/>
  <c r="B41" i="14"/>
  <c r="C41" i="14"/>
  <c r="D41" i="14"/>
  <c r="E41" i="14"/>
  <c r="F41" i="14"/>
  <c r="G41" i="14"/>
  <c r="H41" i="14"/>
  <c r="I41" i="14"/>
  <c r="J41" i="14"/>
  <c r="K41" i="14"/>
  <c r="B42" i="14"/>
  <c r="C42" i="14"/>
  <c r="D42" i="14"/>
  <c r="E42" i="14"/>
  <c r="F42" i="14"/>
  <c r="G42" i="14"/>
  <c r="H42" i="14"/>
  <c r="I42" i="14"/>
  <c r="J42" i="14"/>
  <c r="K42" i="14"/>
  <c r="B43" i="14"/>
  <c r="C43" i="14"/>
  <c r="D43" i="14"/>
  <c r="E43" i="14"/>
  <c r="F43" i="14"/>
  <c r="G43" i="14"/>
  <c r="H43" i="14"/>
  <c r="I43" i="14"/>
  <c r="J43" i="14"/>
  <c r="K43" i="14"/>
  <c r="B44" i="14"/>
  <c r="C44" i="14"/>
  <c r="D44" i="14"/>
  <c r="E44" i="14"/>
  <c r="F44" i="14"/>
  <c r="G44" i="14"/>
  <c r="H44" i="14"/>
  <c r="I44" i="14"/>
  <c r="J44" i="14"/>
  <c r="K44" i="14"/>
  <c r="B45" i="14"/>
  <c r="C45" i="14"/>
  <c r="D45" i="14"/>
  <c r="E45" i="14"/>
  <c r="F45" i="14"/>
  <c r="G45" i="14"/>
  <c r="H45" i="14"/>
  <c r="I45" i="14"/>
  <c r="J45" i="14"/>
  <c r="K45" i="14"/>
  <c r="B46" i="14"/>
  <c r="C46" i="14"/>
  <c r="D46" i="14"/>
  <c r="E46" i="14"/>
  <c r="F46" i="14"/>
  <c r="G46" i="14"/>
  <c r="H46" i="14"/>
  <c r="I46" i="14"/>
  <c r="J46" i="14"/>
  <c r="K46" i="14"/>
  <c r="B47" i="14"/>
  <c r="C47" i="14"/>
  <c r="D47" i="14"/>
  <c r="E47" i="14"/>
  <c r="F47" i="14"/>
  <c r="G47" i="14"/>
  <c r="H47" i="14"/>
  <c r="I47" i="14"/>
  <c r="J47" i="14"/>
  <c r="K47" i="14"/>
  <c r="B48" i="14"/>
  <c r="C48" i="14"/>
  <c r="D48" i="14"/>
  <c r="E48" i="14"/>
  <c r="F48" i="14"/>
  <c r="G48" i="14"/>
  <c r="H48" i="14"/>
  <c r="I48" i="14"/>
  <c r="J48" i="14"/>
  <c r="K48" i="14"/>
  <c r="B49" i="14"/>
  <c r="C49" i="14"/>
  <c r="D49" i="14"/>
  <c r="E49" i="14"/>
  <c r="F49" i="14"/>
  <c r="G49" i="14"/>
  <c r="H49" i="14"/>
  <c r="I49" i="14"/>
  <c r="J49" i="14"/>
  <c r="K49" i="14"/>
  <c r="B50" i="14"/>
  <c r="C50" i="14"/>
  <c r="D50" i="14"/>
  <c r="E50" i="14"/>
  <c r="F50" i="14"/>
  <c r="G50" i="14"/>
  <c r="H50" i="14"/>
  <c r="I50" i="14"/>
  <c r="J50" i="14"/>
  <c r="K50" i="14"/>
  <c r="B51" i="14"/>
  <c r="C51" i="14"/>
  <c r="D51" i="14"/>
  <c r="E51" i="14"/>
  <c r="F51" i="14"/>
  <c r="G51" i="14"/>
  <c r="H51" i="14"/>
  <c r="I51" i="14"/>
  <c r="J51" i="14"/>
  <c r="K51" i="14"/>
  <c r="B52" i="14"/>
  <c r="C52" i="14"/>
  <c r="D52" i="14"/>
  <c r="E52" i="14"/>
  <c r="F52" i="14"/>
  <c r="G52" i="14"/>
  <c r="H52" i="14"/>
  <c r="I52" i="14"/>
  <c r="J52" i="14"/>
  <c r="K52" i="14"/>
  <c r="B53" i="14"/>
  <c r="C53" i="14"/>
  <c r="D53" i="14"/>
  <c r="E53" i="14"/>
  <c r="F53" i="14"/>
  <c r="G53" i="14"/>
  <c r="H53" i="14"/>
  <c r="I53" i="14"/>
  <c r="J53" i="14"/>
  <c r="K53" i="14"/>
  <c r="B54" i="14"/>
  <c r="C54" i="14"/>
  <c r="D54" i="14"/>
  <c r="E54" i="14"/>
  <c r="F54" i="14"/>
  <c r="G54" i="14"/>
  <c r="H54" i="14"/>
  <c r="I54" i="14"/>
  <c r="J54" i="14"/>
  <c r="K54" i="14"/>
  <c r="B55" i="14"/>
  <c r="C55" i="14"/>
  <c r="D55" i="14"/>
  <c r="E55" i="14"/>
  <c r="F55" i="14"/>
  <c r="G55" i="14"/>
  <c r="H55" i="14"/>
  <c r="I55" i="14"/>
  <c r="J55" i="14"/>
  <c r="K55" i="14"/>
  <c r="B56" i="14"/>
  <c r="C56" i="14"/>
  <c r="D56" i="14"/>
  <c r="E56" i="14"/>
  <c r="F56" i="14"/>
  <c r="G56" i="14"/>
  <c r="H56" i="14"/>
  <c r="I56" i="14"/>
  <c r="J56" i="14"/>
  <c r="K56" i="14"/>
  <c r="B57" i="14"/>
  <c r="C57" i="14"/>
  <c r="D57" i="14"/>
  <c r="E57" i="14"/>
  <c r="F57" i="14"/>
  <c r="G57" i="14"/>
  <c r="H57" i="14"/>
  <c r="I57" i="14"/>
  <c r="J57" i="14"/>
  <c r="K57" i="14"/>
  <c r="B58" i="14"/>
  <c r="C58" i="14"/>
  <c r="D58" i="14"/>
  <c r="E58" i="14"/>
  <c r="F58" i="14"/>
  <c r="G58" i="14"/>
  <c r="H58" i="14"/>
  <c r="I58" i="14"/>
  <c r="J58" i="14"/>
  <c r="K58" i="14"/>
  <c r="B59" i="14"/>
  <c r="C59" i="14"/>
  <c r="D59" i="14"/>
  <c r="E59" i="14"/>
  <c r="F59" i="14"/>
  <c r="G59" i="14"/>
  <c r="H59" i="14"/>
  <c r="I59" i="14"/>
  <c r="J59" i="14"/>
  <c r="K59" i="14"/>
  <c r="B60" i="14"/>
  <c r="C60" i="14"/>
  <c r="D60" i="14"/>
  <c r="E60" i="14"/>
  <c r="F60" i="14"/>
  <c r="G60" i="14"/>
  <c r="H60" i="14"/>
  <c r="I60" i="14"/>
  <c r="J60" i="14"/>
  <c r="K60" i="14"/>
  <c r="B61" i="14"/>
  <c r="C61" i="14"/>
  <c r="D61" i="14"/>
  <c r="E61" i="14"/>
  <c r="F61" i="14"/>
  <c r="G61" i="14"/>
  <c r="H61" i="14"/>
  <c r="I61" i="14"/>
  <c r="J61" i="14"/>
  <c r="K61" i="14"/>
  <c r="B62" i="14"/>
  <c r="C62" i="14"/>
  <c r="D62" i="14"/>
  <c r="E62" i="14"/>
  <c r="F62" i="14"/>
  <c r="G62" i="14"/>
  <c r="H62" i="14"/>
  <c r="I62" i="14"/>
  <c r="J62" i="14"/>
  <c r="K62" i="14"/>
  <c r="B63" i="14"/>
  <c r="C63" i="14"/>
  <c r="D63" i="14"/>
  <c r="E63" i="14"/>
  <c r="F63" i="14"/>
  <c r="G63" i="14"/>
  <c r="H63" i="14"/>
  <c r="I63" i="14"/>
  <c r="J63" i="14"/>
  <c r="K63" i="14"/>
  <c r="B64" i="14"/>
  <c r="C64" i="14"/>
  <c r="D64" i="14"/>
  <c r="E64" i="14"/>
  <c r="F64" i="14"/>
  <c r="G64" i="14"/>
  <c r="H64" i="14"/>
  <c r="I64" i="14"/>
  <c r="J64" i="14"/>
  <c r="K64" i="14"/>
  <c r="L64" i="14"/>
  <c r="B65" i="14"/>
  <c r="C65" i="14"/>
  <c r="D65" i="14"/>
  <c r="E65" i="14"/>
  <c r="F65" i="14"/>
  <c r="G65" i="14"/>
  <c r="H65" i="14"/>
  <c r="I65" i="14"/>
  <c r="J65" i="14"/>
  <c r="K65" i="14"/>
  <c r="L65" i="14"/>
  <c r="B66" i="14"/>
  <c r="C66" i="14"/>
  <c r="D66" i="14"/>
  <c r="E66" i="14"/>
  <c r="F66" i="14"/>
  <c r="G66" i="14"/>
  <c r="H66" i="14"/>
  <c r="I66" i="14"/>
  <c r="J66" i="14"/>
  <c r="K66" i="14"/>
  <c r="L66" i="14"/>
  <c r="B67" i="14"/>
  <c r="C67" i="14"/>
  <c r="D67" i="14"/>
  <c r="E67" i="14"/>
  <c r="F67" i="14"/>
  <c r="G67" i="14"/>
  <c r="H67" i="14"/>
  <c r="I67" i="14"/>
  <c r="J67" i="14"/>
  <c r="K67" i="14"/>
  <c r="L67" i="14"/>
  <c r="B68" i="14"/>
  <c r="C68" i="14"/>
  <c r="D68" i="14"/>
  <c r="E68" i="14"/>
  <c r="F68" i="14"/>
  <c r="G68" i="14"/>
  <c r="H68" i="14"/>
  <c r="I68" i="14"/>
  <c r="J68" i="14"/>
  <c r="K68" i="14"/>
  <c r="L68" i="14"/>
  <c r="C6" i="11"/>
  <c r="B6" i="11"/>
  <c r="C3" i="11"/>
  <c r="C4" i="11" s="1"/>
  <c r="B2" i="11"/>
  <c r="C2" i="11"/>
  <c r="B3" i="11"/>
  <c r="AG16" i="6"/>
  <c r="AD16" i="6"/>
  <c r="N15" i="15" l="1"/>
  <c r="P15" i="15"/>
  <c r="O7" i="14"/>
  <c r="R7" i="14"/>
  <c r="Q7" i="14"/>
  <c r="P7" i="14"/>
  <c r="N7" i="14"/>
  <c r="S7" i="14"/>
  <c r="O6" i="14"/>
  <c r="R6" i="14"/>
  <c r="Q6" i="14"/>
  <c r="P6" i="14"/>
  <c r="N6" i="14"/>
  <c r="S6" i="14"/>
  <c r="O5" i="14"/>
  <c r="R5" i="14"/>
  <c r="Q5" i="14"/>
  <c r="P5" i="14"/>
  <c r="N5" i="14"/>
  <c r="S5" i="14"/>
  <c r="O4" i="14"/>
  <c r="R4" i="14"/>
  <c r="Q4" i="14"/>
  <c r="P4" i="14"/>
  <c r="N4" i="14"/>
  <c r="S4" i="14"/>
  <c r="O3" i="14"/>
  <c r="R3" i="14"/>
  <c r="Q3" i="14"/>
  <c r="P3" i="14"/>
  <c r="N3" i="14"/>
  <c r="S3" i="14"/>
  <c r="O2" i="14"/>
  <c r="R2" i="14"/>
  <c r="Q2" i="14"/>
  <c r="P2" i="14"/>
  <c r="N2" i="14"/>
  <c r="S2" i="14"/>
  <c r="B5" i="11"/>
  <c r="B4" i="11"/>
  <c r="C5" i="11"/>
  <c r="C3" i="3"/>
  <c r="D3" i="3"/>
  <c r="E3" i="3"/>
  <c r="F3" i="3"/>
  <c r="G3" i="3"/>
  <c r="H3" i="3"/>
  <c r="I3" i="3"/>
  <c r="J3" i="3"/>
  <c r="K3" i="3"/>
  <c r="B4" i="3"/>
  <c r="C4" i="3"/>
  <c r="D4" i="3"/>
  <c r="E4" i="3"/>
  <c r="F4" i="3"/>
  <c r="G4" i="3"/>
  <c r="H4" i="3"/>
  <c r="I4" i="3"/>
  <c r="J4" i="3"/>
  <c r="K4" i="3"/>
  <c r="B5" i="3"/>
  <c r="C5" i="3"/>
  <c r="D5" i="3"/>
  <c r="E5" i="3"/>
  <c r="F5" i="3"/>
  <c r="G5" i="3"/>
  <c r="H5" i="3"/>
  <c r="I5" i="3"/>
  <c r="J5" i="3"/>
  <c r="K5" i="3"/>
  <c r="B6" i="3"/>
  <c r="C6" i="3"/>
  <c r="D6" i="3"/>
  <c r="E6" i="3"/>
  <c r="F6" i="3"/>
  <c r="G6" i="3"/>
  <c r="H6" i="3"/>
  <c r="I6" i="3"/>
  <c r="J6" i="3"/>
  <c r="K6" i="3"/>
  <c r="B7" i="3"/>
  <c r="C7" i="3"/>
  <c r="D7" i="3"/>
  <c r="E7" i="3"/>
  <c r="F7" i="3"/>
  <c r="G7" i="3"/>
  <c r="H7" i="3"/>
  <c r="I7" i="3"/>
  <c r="J7" i="3"/>
  <c r="K7" i="3"/>
  <c r="B8" i="3"/>
  <c r="C8" i="3"/>
  <c r="D8" i="3"/>
  <c r="E8" i="3"/>
  <c r="F8" i="3"/>
  <c r="G8" i="3"/>
  <c r="H8" i="3"/>
  <c r="I8" i="3"/>
  <c r="J8" i="3"/>
  <c r="K8" i="3"/>
  <c r="B9" i="3"/>
  <c r="C9" i="3"/>
  <c r="D9" i="3"/>
  <c r="E9" i="3"/>
  <c r="F9" i="3"/>
  <c r="G9" i="3"/>
  <c r="H9" i="3"/>
  <c r="I9" i="3"/>
  <c r="J9" i="3"/>
  <c r="K9" i="3"/>
  <c r="B10" i="3"/>
  <c r="C10" i="3"/>
  <c r="D10" i="3"/>
  <c r="E10" i="3"/>
  <c r="F10" i="3"/>
  <c r="G10" i="3"/>
  <c r="H10" i="3"/>
  <c r="I10" i="3"/>
  <c r="J10" i="3"/>
  <c r="K10" i="3"/>
  <c r="B11" i="3"/>
  <c r="C11" i="3"/>
  <c r="D11" i="3"/>
  <c r="E11" i="3"/>
  <c r="F11" i="3"/>
  <c r="G11" i="3"/>
  <c r="H11" i="3"/>
  <c r="I11" i="3"/>
  <c r="J11" i="3"/>
  <c r="K11" i="3"/>
  <c r="B12" i="3"/>
  <c r="C12" i="3"/>
  <c r="D12" i="3"/>
  <c r="E12" i="3"/>
  <c r="F12" i="3"/>
  <c r="G12" i="3"/>
  <c r="H12" i="3"/>
  <c r="I12" i="3"/>
  <c r="J12" i="3"/>
  <c r="K12" i="3"/>
  <c r="B13" i="3"/>
  <c r="C13" i="3"/>
  <c r="D13" i="3"/>
  <c r="E13" i="3"/>
  <c r="F13" i="3"/>
  <c r="G13" i="3"/>
  <c r="H13" i="3"/>
  <c r="I13" i="3"/>
  <c r="J13" i="3"/>
  <c r="K13" i="3"/>
  <c r="B14" i="3"/>
  <c r="C14" i="3"/>
  <c r="D14" i="3"/>
  <c r="E14" i="3"/>
  <c r="F14" i="3"/>
  <c r="G14" i="3"/>
  <c r="H14" i="3"/>
  <c r="I14" i="3"/>
  <c r="J14" i="3"/>
  <c r="K14" i="3"/>
  <c r="B15" i="3"/>
  <c r="C15" i="3"/>
  <c r="D15" i="3"/>
  <c r="E15" i="3"/>
  <c r="F15" i="3"/>
  <c r="G15" i="3"/>
  <c r="H15" i="3"/>
  <c r="I15" i="3"/>
  <c r="J15" i="3"/>
  <c r="K15" i="3"/>
  <c r="B16" i="3"/>
  <c r="C16" i="3"/>
  <c r="D16" i="3"/>
  <c r="E16" i="3"/>
  <c r="F16" i="3"/>
  <c r="G16" i="3"/>
  <c r="H16" i="3"/>
  <c r="I16" i="3"/>
  <c r="J16" i="3"/>
  <c r="K16" i="3"/>
  <c r="B17" i="3"/>
  <c r="C17" i="3"/>
  <c r="D17" i="3"/>
  <c r="E17" i="3"/>
  <c r="F17" i="3"/>
  <c r="G17" i="3"/>
  <c r="H17" i="3"/>
  <c r="I17" i="3"/>
  <c r="J17" i="3"/>
  <c r="K17" i="3"/>
  <c r="B18" i="3"/>
  <c r="C18" i="3"/>
  <c r="D18" i="3"/>
  <c r="E18" i="3"/>
  <c r="F18" i="3"/>
  <c r="G18" i="3"/>
  <c r="H18" i="3"/>
  <c r="I18" i="3"/>
  <c r="J18" i="3"/>
  <c r="K18" i="3"/>
  <c r="B19" i="3"/>
  <c r="C19" i="3"/>
  <c r="D19" i="3"/>
  <c r="E19" i="3"/>
  <c r="F19" i="3"/>
  <c r="G19" i="3"/>
  <c r="H19" i="3"/>
  <c r="I19" i="3"/>
  <c r="J19" i="3"/>
  <c r="K19" i="3"/>
  <c r="B20" i="3"/>
  <c r="C20" i="3"/>
  <c r="D20" i="3"/>
  <c r="E20" i="3"/>
  <c r="F20" i="3"/>
  <c r="G20" i="3"/>
  <c r="H20" i="3"/>
  <c r="I20" i="3"/>
  <c r="J20" i="3"/>
  <c r="K20" i="3"/>
  <c r="B21" i="3"/>
  <c r="C21" i="3"/>
  <c r="D21" i="3"/>
  <c r="E21" i="3"/>
  <c r="F21" i="3"/>
  <c r="G21" i="3"/>
  <c r="H21" i="3"/>
  <c r="I21" i="3"/>
  <c r="J21" i="3"/>
  <c r="K21" i="3"/>
  <c r="B22" i="3"/>
  <c r="C22" i="3"/>
  <c r="D22" i="3"/>
  <c r="E22" i="3"/>
  <c r="F22" i="3"/>
  <c r="G22" i="3"/>
  <c r="H22" i="3"/>
  <c r="I22" i="3"/>
  <c r="J22" i="3"/>
  <c r="K22" i="3"/>
  <c r="B23" i="3"/>
  <c r="C23" i="3"/>
  <c r="D23" i="3"/>
  <c r="E23" i="3"/>
  <c r="F23" i="3"/>
  <c r="G23" i="3"/>
  <c r="H23" i="3"/>
  <c r="I23" i="3"/>
  <c r="J23" i="3"/>
  <c r="K23" i="3"/>
  <c r="B24" i="3"/>
  <c r="C24" i="3"/>
  <c r="D24" i="3"/>
  <c r="E24" i="3"/>
  <c r="F24" i="3"/>
  <c r="G24" i="3"/>
  <c r="H24" i="3"/>
  <c r="I24" i="3"/>
  <c r="J24" i="3"/>
  <c r="K24" i="3"/>
  <c r="B25" i="3"/>
  <c r="C25" i="3"/>
  <c r="D25" i="3"/>
  <c r="E25" i="3"/>
  <c r="F25" i="3"/>
  <c r="G25" i="3"/>
  <c r="H25" i="3"/>
  <c r="I25" i="3"/>
  <c r="J25" i="3"/>
  <c r="K25" i="3"/>
  <c r="B26" i="3"/>
  <c r="C26" i="3"/>
  <c r="D26" i="3"/>
  <c r="E26" i="3"/>
  <c r="F26" i="3"/>
  <c r="G26" i="3"/>
  <c r="H26" i="3"/>
  <c r="I26" i="3"/>
  <c r="J26" i="3"/>
  <c r="K26" i="3"/>
  <c r="B27" i="3"/>
  <c r="C27" i="3"/>
  <c r="D27" i="3"/>
  <c r="E27" i="3"/>
  <c r="F27" i="3"/>
  <c r="G27" i="3"/>
  <c r="H27" i="3"/>
  <c r="I27" i="3"/>
  <c r="J27" i="3"/>
  <c r="K27" i="3"/>
  <c r="B28" i="3"/>
  <c r="C28" i="3"/>
  <c r="D28" i="3"/>
  <c r="E28" i="3"/>
  <c r="F28" i="3"/>
  <c r="G28" i="3"/>
  <c r="H28" i="3"/>
  <c r="I28" i="3"/>
  <c r="J28" i="3"/>
  <c r="K28" i="3"/>
  <c r="B29" i="3"/>
  <c r="C29" i="3"/>
  <c r="D29" i="3"/>
  <c r="E29" i="3"/>
  <c r="F29" i="3"/>
  <c r="G29" i="3"/>
  <c r="H29" i="3"/>
  <c r="I29" i="3"/>
  <c r="J29" i="3"/>
  <c r="K29" i="3"/>
  <c r="B30" i="3"/>
  <c r="C30" i="3"/>
  <c r="D30" i="3"/>
  <c r="E30" i="3"/>
  <c r="F30" i="3"/>
  <c r="G30" i="3"/>
  <c r="H30" i="3"/>
  <c r="I30" i="3"/>
  <c r="J30" i="3"/>
  <c r="K30" i="3"/>
  <c r="B31" i="3"/>
  <c r="C31" i="3"/>
  <c r="D31" i="3"/>
  <c r="E31" i="3"/>
  <c r="F31" i="3"/>
  <c r="G31" i="3"/>
  <c r="H31" i="3"/>
  <c r="I31" i="3"/>
  <c r="J31" i="3"/>
  <c r="K31" i="3"/>
  <c r="B32" i="3"/>
  <c r="C32" i="3"/>
  <c r="D32" i="3"/>
  <c r="E32" i="3"/>
  <c r="F32" i="3"/>
  <c r="G32" i="3"/>
  <c r="H32" i="3"/>
  <c r="I32" i="3"/>
  <c r="J32" i="3"/>
  <c r="K32" i="3"/>
  <c r="B33" i="3"/>
  <c r="C33" i="3"/>
  <c r="D33" i="3"/>
  <c r="E33" i="3"/>
  <c r="F33" i="3"/>
  <c r="G33" i="3"/>
  <c r="H33" i="3"/>
  <c r="I33" i="3"/>
  <c r="J33" i="3"/>
  <c r="K33" i="3"/>
  <c r="B34" i="3"/>
  <c r="C34" i="3"/>
  <c r="D34" i="3"/>
  <c r="E34" i="3"/>
  <c r="F34" i="3"/>
  <c r="G34" i="3"/>
  <c r="H34" i="3"/>
  <c r="I34" i="3"/>
  <c r="J34" i="3"/>
  <c r="K34" i="3"/>
  <c r="B35" i="3"/>
  <c r="C35" i="3"/>
  <c r="D35" i="3"/>
  <c r="E35" i="3"/>
  <c r="F35" i="3"/>
  <c r="G35" i="3"/>
  <c r="H35" i="3"/>
  <c r="I35" i="3"/>
  <c r="J35" i="3"/>
  <c r="K35" i="3"/>
  <c r="B36" i="3"/>
  <c r="C36" i="3"/>
  <c r="D36" i="3"/>
  <c r="E36" i="3"/>
  <c r="F36" i="3"/>
  <c r="G36" i="3"/>
  <c r="H36" i="3"/>
  <c r="I36" i="3"/>
  <c r="J36" i="3"/>
  <c r="K36" i="3"/>
  <c r="B37" i="3"/>
  <c r="C37" i="3"/>
  <c r="D37" i="3"/>
  <c r="E37" i="3"/>
  <c r="F37" i="3"/>
  <c r="G37" i="3"/>
  <c r="H37" i="3"/>
  <c r="I37" i="3"/>
  <c r="J37" i="3"/>
  <c r="K37" i="3"/>
  <c r="B38" i="3"/>
  <c r="C38" i="3"/>
  <c r="D38" i="3"/>
  <c r="E38" i="3"/>
  <c r="F38" i="3"/>
  <c r="G38" i="3"/>
  <c r="H38" i="3"/>
  <c r="I38" i="3"/>
  <c r="J38" i="3"/>
  <c r="K38" i="3"/>
  <c r="B39" i="3"/>
  <c r="C39" i="3"/>
  <c r="D39" i="3"/>
  <c r="E39" i="3"/>
  <c r="F39" i="3"/>
  <c r="G39" i="3"/>
  <c r="H39" i="3"/>
  <c r="I39" i="3"/>
  <c r="J39" i="3"/>
  <c r="K39" i="3"/>
  <c r="B40" i="3"/>
  <c r="C40" i="3"/>
  <c r="D40" i="3"/>
  <c r="E40" i="3"/>
  <c r="F40" i="3"/>
  <c r="G40" i="3"/>
  <c r="H40" i="3"/>
  <c r="I40" i="3"/>
  <c r="J40" i="3"/>
  <c r="K40" i="3"/>
  <c r="B41" i="3"/>
  <c r="C41" i="3"/>
  <c r="D41" i="3"/>
  <c r="E41" i="3"/>
  <c r="F41" i="3"/>
  <c r="G41" i="3"/>
  <c r="H41" i="3"/>
  <c r="I41" i="3"/>
  <c r="J41" i="3"/>
  <c r="K41" i="3"/>
  <c r="B42" i="3"/>
  <c r="C42" i="3"/>
  <c r="D42" i="3"/>
  <c r="E42" i="3"/>
  <c r="F42" i="3"/>
  <c r="G42" i="3"/>
  <c r="H42" i="3"/>
  <c r="I42" i="3"/>
  <c r="J42" i="3"/>
  <c r="K42" i="3"/>
  <c r="B43" i="3"/>
  <c r="C43" i="3"/>
  <c r="D43" i="3"/>
  <c r="E43" i="3"/>
  <c r="F43" i="3"/>
  <c r="G43" i="3"/>
  <c r="H43" i="3"/>
  <c r="I43" i="3"/>
  <c r="J43" i="3"/>
  <c r="K43" i="3"/>
  <c r="B44" i="3"/>
  <c r="C44" i="3"/>
  <c r="D44" i="3"/>
  <c r="E44" i="3"/>
  <c r="F44" i="3"/>
  <c r="G44" i="3"/>
  <c r="H44" i="3"/>
  <c r="I44" i="3"/>
  <c r="J44" i="3"/>
  <c r="K44" i="3"/>
  <c r="B45" i="3"/>
  <c r="C45" i="3"/>
  <c r="D45" i="3"/>
  <c r="E45" i="3"/>
  <c r="F45" i="3"/>
  <c r="G45" i="3"/>
  <c r="H45" i="3"/>
  <c r="I45" i="3"/>
  <c r="J45" i="3"/>
  <c r="K45" i="3"/>
  <c r="B46" i="3"/>
  <c r="C46" i="3"/>
  <c r="D46" i="3"/>
  <c r="E46" i="3"/>
  <c r="F46" i="3"/>
  <c r="G46" i="3"/>
  <c r="H46" i="3"/>
  <c r="I46" i="3"/>
  <c r="J46" i="3"/>
  <c r="K46" i="3"/>
  <c r="B47" i="3"/>
  <c r="C47" i="3"/>
  <c r="D47" i="3"/>
  <c r="E47" i="3"/>
  <c r="F47" i="3"/>
  <c r="G47" i="3"/>
  <c r="H47" i="3"/>
  <c r="I47" i="3"/>
  <c r="J47" i="3"/>
  <c r="K47" i="3"/>
  <c r="B48" i="3"/>
  <c r="C48" i="3"/>
  <c r="D48" i="3"/>
  <c r="E48" i="3"/>
  <c r="F48" i="3"/>
  <c r="G48" i="3"/>
  <c r="H48" i="3"/>
  <c r="I48" i="3"/>
  <c r="J48" i="3"/>
  <c r="K48" i="3"/>
  <c r="B49" i="3"/>
  <c r="C49" i="3"/>
  <c r="D49" i="3"/>
  <c r="E49" i="3"/>
  <c r="F49" i="3"/>
  <c r="G49" i="3"/>
  <c r="H49" i="3"/>
  <c r="I49" i="3"/>
  <c r="J49" i="3"/>
  <c r="K49" i="3"/>
  <c r="B50" i="3"/>
  <c r="C50" i="3"/>
  <c r="D50" i="3"/>
  <c r="E50" i="3"/>
  <c r="F50" i="3"/>
  <c r="G50" i="3"/>
  <c r="H50" i="3"/>
  <c r="I50" i="3"/>
  <c r="J50" i="3"/>
  <c r="K50" i="3"/>
  <c r="B51" i="3"/>
  <c r="C51" i="3"/>
  <c r="D51" i="3"/>
  <c r="E51" i="3"/>
  <c r="F51" i="3"/>
  <c r="G51" i="3"/>
  <c r="H51" i="3"/>
  <c r="I51" i="3"/>
  <c r="J51" i="3"/>
  <c r="K51" i="3"/>
  <c r="B52" i="3"/>
  <c r="C52" i="3"/>
  <c r="D52" i="3"/>
  <c r="E52" i="3"/>
  <c r="F52" i="3"/>
  <c r="G52" i="3"/>
  <c r="H52" i="3"/>
  <c r="I52" i="3"/>
  <c r="J52" i="3"/>
  <c r="K52" i="3"/>
  <c r="B53" i="3"/>
  <c r="C53" i="3"/>
  <c r="D53" i="3"/>
  <c r="E53" i="3"/>
  <c r="F53" i="3"/>
  <c r="G53" i="3"/>
  <c r="H53" i="3"/>
  <c r="I53" i="3"/>
  <c r="J53" i="3"/>
  <c r="K53" i="3"/>
  <c r="B54" i="3"/>
  <c r="C54" i="3"/>
  <c r="D54" i="3"/>
  <c r="E54" i="3"/>
  <c r="F54" i="3"/>
  <c r="G54" i="3"/>
  <c r="H54" i="3"/>
  <c r="I54" i="3"/>
  <c r="J54" i="3"/>
  <c r="K54" i="3"/>
  <c r="B55" i="3"/>
  <c r="C55" i="3"/>
  <c r="D55" i="3"/>
  <c r="E55" i="3"/>
  <c r="F55" i="3"/>
  <c r="G55" i="3"/>
  <c r="H55" i="3"/>
  <c r="I55" i="3"/>
  <c r="J55" i="3"/>
  <c r="K55" i="3"/>
  <c r="B56" i="3"/>
  <c r="C56" i="3"/>
  <c r="D56" i="3"/>
  <c r="E56" i="3"/>
  <c r="F56" i="3"/>
  <c r="G56" i="3"/>
  <c r="H56" i="3"/>
  <c r="I56" i="3"/>
  <c r="J56" i="3"/>
  <c r="K56" i="3"/>
  <c r="B57" i="3"/>
  <c r="C57" i="3"/>
  <c r="D57" i="3"/>
  <c r="E57" i="3"/>
  <c r="F57" i="3"/>
  <c r="G57" i="3"/>
  <c r="H57" i="3"/>
  <c r="I57" i="3"/>
  <c r="J57" i="3"/>
  <c r="K57" i="3"/>
  <c r="B58" i="3"/>
  <c r="C58" i="3"/>
  <c r="D58" i="3"/>
  <c r="E58" i="3"/>
  <c r="F58" i="3"/>
  <c r="G58" i="3"/>
  <c r="H58" i="3"/>
  <c r="I58" i="3"/>
  <c r="J58" i="3"/>
  <c r="K58" i="3"/>
  <c r="B59" i="3"/>
  <c r="C59" i="3"/>
  <c r="D59" i="3"/>
  <c r="E59" i="3"/>
  <c r="F59" i="3"/>
  <c r="G59" i="3"/>
  <c r="H59" i="3"/>
  <c r="I59" i="3"/>
  <c r="J59" i="3"/>
  <c r="K59" i="3"/>
  <c r="B60" i="3"/>
  <c r="C60" i="3"/>
  <c r="D60" i="3"/>
  <c r="E60" i="3"/>
  <c r="F60" i="3"/>
  <c r="G60" i="3"/>
  <c r="H60" i="3"/>
  <c r="I60" i="3"/>
  <c r="J60" i="3"/>
  <c r="K60" i="3"/>
  <c r="B61" i="3"/>
  <c r="C61" i="3"/>
  <c r="D61" i="3"/>
  <c r="E61" i="3"/>
  <c r="F61" i="3"/>
  <c r="G61" i="3"/>
  <c r="H61" i="3"/>
  <c r="I61" i="3"/>
  <c r="J61" i="3"/>
  <c r="K61" i="3"/>
  <c r="B62" i="3"/>
  <c r="C62" i="3"/>
  <c r="D62" i="3"/>
  <c r="E62" i="3"/>
  <c r="F62" i="3"/>
  <c r="G62" i="3"/>
  <c r="H62" i="3"/>
  <c r="I62" i="3"/>
  <c r="J62" i="3"/>
  <c r="K62" i="3"/>
  <c r="B63" i="3"/>
  <c r="C63" i="3"/>
  <c r="D63" i="3"/>
  <c r="E63" i="3"/>
  <c r="F63" i="3"/>
  <c r="G63" i="3"/>
  <c r="H63" i="3"/>
  <c r="I63" i="3"/>
  <c r="J63" i="3"/>
  <c r="K63" i="3"/>
  <c r="T2" i="14" l="1"/>
  <c r="U2" i="14" s="1"/>
  <c r="T3" i="14"/>
  <c r="T4" i="14"/>
  <c r="T5" i="14"/>
  <c r="T6" i="14"/>
  <c r="T7" i="14"/>
  <c r="B66" i="3"/>
  <c r="L66" i="3" s="1"/>
  <c r="B64" i="3"/>
  <c r="G6" i="6"/>
  <c r="D4" i="10"/>
  <c r="F5" i="6"/>
  <c r="C3" i="10"/>
  <c r="E4" i="6"/>
  <c r="B67" i="3"/>
  <c r="B2" i="10"/>
  <c r="K11" i="10"/>
  <c r="N13" i="6"/>
  <c r="J10" i="10"/>
  <c r="M12" i="6"/>
  <c r="I9" i="10"/>
  <c r="L11" i="6"/>
  <c r="K10" i="6"/>
  <c r="H8" i="10"/>
  <c r="J9" i="6"/>
  <c r="G7" i="10"/>
  <c r="I8" i="6"/>
  <c r="F6" i="10"/>
  <c r="H7" i="6"/>
  <c r="E5" i="10"/>
  <c r="D64" i="3"/>
  <c r="D65" i="3" s="1"/>
  <c r="E64" i="3"/>
  <c r="E65" i="3" s="1"/>
  <c r="H64" i="3"/>
  <c r="H65" i="3" s="1"/>
  <c r="I64" i="3"/>
  <c r="I65" i="3" s="1"/>
  <c r="K64" i="3"/>
  <c r="K65" i="3" s="1"/>
  <c r="G64" i="3"/>
  <c r="G65" i="3" s="1"/>
  <c r="C64" i="3"/>
  <c r="C66" i="3" s="1"/>
  <c r="F64" i="3"/>
  <c r="F65" i="3" s="1"/>
  <c r="J64" i="3"/>
  <c r="J65" i="3" s="1"/>
  <c r="B68" i="3" l="1"/>
  <c r="L67" i="3"/>
  <c r="B65" i="3"/>
  <c r="L65" i="3" s="1"/>
  <c r="L64" i="3"/>
  <c r="U3" i="14"/>
  <c r="U4" i="14" s="1"/>
  <c r="U5" i="14" s="1"/>
  <c r="U6" i="14" s="1"/>
  <c r="U7" i="14" s="1"/>
  <c r="E16" i="6" a="1"/>
  <c r="E16" i="6" s="1"/>
  <c r="C67" i="3"/>
  <c r="C68" i="3" s="1"/>
  <c r="B3" i="5" s="1"/>
  <c r="D66" i="3"/>
  <c r="D67" i="3" s="1"/>
  <c r="D68" i="3" s="1"/>
  <c r="C3" i="5" s="1"/>
  <c r="E66" i="3"/>
  <c r="E67" i="3" s="1"/>
  <c r="E68" i="3" s="1"/>
  <c r="D3" i="5" s="1"/>
  <c r="F66" i="3"/>
  <c r="F67" i="3" s="1"/>
  <c r="F68" i="3" s="1"/>
  <c r="E3" i="5" s="1"/>
  <c r="G66" i="3"/>
  <c r="G67" i="3" s="1"/>
  <c r="G68" i="3" s="1"/>
  <c r="F3" i="5" s="1"/>
  <c r="C65" i="3"/>
  <c r="I66" i="3"/>
  <c r="I67" i="3" s="1"/>
  <c r="I68" i="3" s="1"/>
  <c r="H3" i="5" s="1"/>
  <c r="H66" i="3"/>
  <c r="H67" i="3" s="1"/>
  <c r="H68" i="3" s="1"/>
  <c r="G3" i="5" s="1"/>
  <c r="J66" i="3"/>
  <c r="J67" i="3" s="1"/>
  <c r="J68" i="3" s="1"/>
  <c r="I3" i="5" s="1"/>
  <c r="K66" i="3"/>
  <c r="K67" i="3" s="1"/>
  <c r="K68" i="3" s="1"/>
  <c r="J3" i="5" s="1"/>
  <c r="A3" i="5" l="1"/>
  <c r="L68" i="3"/>
  <c r="AE16" i="6" a="1"/>
  <c r="AE16" i="6" s="1"/>
  <c r="AF16" i="6" l="1"/>
  <c r="AI16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<sst xmlns="http://schemas.openxmlformats.org/spreadsheetml/2006/main" count="361" uniqueCount="165">
  <si>
    <t>Date</t>
  </si>
  <si>
    <t>AAPL</t>
  </si>
  <si>
    <t>AMZN</t>
  </si>
  <si>
    <t>AVGO</t>
  </si>
  <si>
    <t>GOOGL</t>
  </si>
  <si>
    <t>MA</t>
  </si>
  <si>
    <t>META</t>
  </si>
  <si>
    <t>MSFT</t>
  </si>
  <si>
    <t>NVDA</t>
  </si>
  <si>
    <t>ORCL</t>
  </si>
  <si>
    <t>TSLA</t>
  </si>
  <si>
    <t>EXPECTED RETURNS</t>
  </si>
  <si>
    <t>Monthly MEAN RETURN</t>
  </si>
  <si>
    <t>annual MEAN RETURN</t>
  </si>
  <si>
    <t>Variance</t>
  </si>
  <si>
    <t>annual VAR</t>
  </si>
  <si>
    <t>standard Dev annual</t>
  </si>
  <si>
    <t>Total</t>
  </si>
  <si>
    <t>Standart Deviation</t>
  </si>
  <si>
    <t>GMVP</t>
  </si>
  <si>
    <t>Effective PF</t>
  </si>
  <si>
    <t>Mutual fund SEEGX</t>
  </si>
  <si>
    <t>Russell 1000</t>
  </si>
  <si>
    <t>MSCI World index</t>
  </si>
  <si>
    <t>Sharpe ratio</t>
  </si>
  <si>
    <t>Rf =</t>
  </si>
  <si>
    <t>Beta</t>
  </si>
  <si>
    <t>US Bonds</t>
  </si>
  <si>
    <t>Jensen's alpha</t>
  </si>
  <si>
    <t>Treynor ratio</t>
  </si>
  <si>
    <t>Rm =</t>
  </si>
  <si>
    <t>Standard deviation</t>
  </si>
  <si>
    <t>Holdings</t>
  </si>
  <si>
    <t>Colonne1</t>
  </si>
  <si>
    <t>Colonne2</t>
  </si>
  <si>
    <t>Colonne3</t>
  </si>
  <si>
    <t>Colonne4</t>
  </si>
  <si>
    <t>Colonne5</t>
  </si>
  <si>
    <t>Colonne6</t>
  </si>
  <si>
    <t>Top 10 (%)</t>
  </si>
  <si>
    <t>Sector</t>
  </si>
  <si>
    <t>Constituents</t>
  </si>
  <si>
    <t>Weight (%)</t>
  </si>
  <si>
    <t>Information Technology</t>
  </si>
  <si>
    <t>AVGO (47.5%) + ORCL (19.8%) + NVDA (3.6%) + AAPL (2.6%)</t>
  </si>
  <si>
    <t>73.5 %</t>
  </si>
  <si>
    <t>Communication Services</t>
  </si>
  <si>
    <t>GOOGL (14.5%)</t>
  </si>
  <si>
    <t>14.5 %</t>
  </si>
  <si>
    <t>Financials</t>
  </si>
  <si>
    <t>MA (12.0%)</t>
  </si>
  <si>
    <t>12.0 %</t>
  </si>
  <si>
    <t>Other Sectors</t>
  </si>
  <si>
    <t>AMZN, META, MSFT, TSLA (0%)</t>
  </si>
  <si>
    <t>somme annual return</t>
  </si>
  <si>
    <t>Résultat avec 10000 avec notre portefeuille</t>
  </si>
  <si>
    <t>Année</t>
  </si>
  <si>
    <t>SEEGX (JPMorgan Large Cap Growth I)</t>
  </si>
  <si>
    <t>Russell 1000 (Total Return)</t>
  </si>
  <si>
    <t>MSCI World (Net TR, USD)</t>
  </si>
  <si>
    <t>Group Portfolio</t>
  </si>
  <si>
    <t>SEEGX</t>
  </si>
  <si>
    <t>MSCI World</t>
  </si>
  <si>
    <t>Year</t>
  </si>
  <si>
    <t>Performance of the year</t>
  </si>
  <si>
    <t>Metric</t>
  </si>
  <si>
    <t>Value</t>
  </si>
  <si>
    <t>Interpretation (Group Portfolio)</t>
  </si>
  <si>
    <t>Sharpe Ratio</t>
  </si>
  <si>
    <t>1.27</t>
  </si>
  <si>
    <t>Indicates strong risk-adjusted performance investors are well compensated for volatility.</t>
  </si>
  <si>
    <t>1.24</t>
  </si>
  <si>
    <t>Slightly more sensitive to market movements, reflecting higher exposure to growth stocks.</t>
  </si>
  <si>
    <t>Alpha</t>
  </si>
  <si>
    <t>+0.185</t>
  </si>
  <si>
    <t>Positive excess return versus expected benchmark performance.</t>
  </si>
  <si>
    <t>Treynor Ratio</t>
  </si>
  <si>
    <t>0.26</t>
  </si>
  <si>
    <t>Solid return per unit of market risk, showing efficient portfolio management.</t>
  </si>
  <si>
    <t>Standard Deviation</t>
  </si>
  <si>
    <t>Moderate volatility consistent with a high-growth equity portfolio.</t>
  </si>
  <si>
    <t>Colonne 1</t>
  </si>
  <si>
    <t>Colonne 2</t>
  </si>
  <si>
    <t>Colonne 3</t>
  </si>
  <si>
    <t>Colonne 4</t>
  </si>
  <si>
    <t>Colonne 5</t>
  </si>
  <si>
    <t>Colonne 6</t>
  </si>
  <si>
    <t>Colonne 7</t>
  </si>
  <si>
    <t>Colonne 8</t>
  </si>
  <si>
    <t>Colonne 9</t>
  </si>
  <si>
    <t>Colonne 10</t>
  </si>
  <si>
    <t>monthly var-covar matrix</t>
  </si>
  <si>
    <t>Portfolio</t>
  </si>
  <si>
    <t>Annual var-covar matrix</t>
  </si>
  <si>
    <t>omega 1</t>
  </si>
  <si>
    <t>omega 2</t>
  </si>
  <si>
    <t>omega 3</t>
  </si>
  <si>
    <t>omega 4</t>
  </si>
  <si>
    <t>omega 5</t>
  </si>
  <si>
    <t>omega 6</t>
  </si>
  <si>
    <t>omega 7</t>
  </si>
  <si>
    <t>omega 8</t>
  </si>
  <si>
    <t>omega 9</t>
  </si>
  <si>
    <t>omega 10</t>
  </si>
  <si>
    <t>Mean</t>
  </si>
  <si>
    <t>Var</t>
  </si>
  <si>
    <t>Sigma</t>
  </si>
  <si>
    <t>Constraint on weights</t>
  </si>
  <si>
    <t>A</t>
  </si>
  <si>
    <t>Utility</t>
  </si>
  <si>
    <t>Initial portfolio</t>
  </si>
  <si>
    <t>Eff PF with mean = 20%</t>
  </si>
  <si>
    <t>Eff PF with mean = 25%</t>
  </si>
  <si>
    <t>Eff PF with mean = 30%</t>
  </si>
  <si>
    <t>Eff PF with mean = 35%</t>
  </si>
  <si>
    <t>Eff PF with mean = 40%</t>
  </si>
  <si>
    <t>Eff PF with mean = 45%</t>
  </si>
  <si>
    <t>Eff PF with mean = 50%</t>
  </si>
  <si>
    <t>Eff PF with mean = 51%</t>
  </si>
  <si>
    <t>Risk free rate</t>
  </si>
  <si>
    <t xml:space="preserve">Scope 3 emission </t>
  </si>
  <si>
    <t>Ticker</t>
  </si>
  <si>
    <t>82.13</t>
  </si>
  <si>
    <t>63.22</t>
  </si>
  <si>
    <t>52.11</t>
  </si>
  <si>
    <t>41.69</t>
  </si>
  <si>
    <t>—</t>
  </si>
  <si>
    <t>Carbon_Intensity 2024(tonnes CO2e/$M)</t>
  </si>
  <si>
    <t>Weight in EFP</t>
  </si>
  <si>
    <t>Weighted Average Carbon Intensity ( contribution )</t>
  </si>
  <si>
    <t>5-year carbon evolution</t>
  </si>
  <si>
    <t xml:space="preserve">Weighted  5-year carbon evolution Trend </t>
  </si>
  <si>
    <t>ESG SCORE</t>
  </si>
  <si>
    <t>42.57</t>
  </si>
  <si>
    <t>33.34</t>
  </si>
  <si>
    <t>32.94</t>
  </si>
  <si>
    <t>35.12</t>
  </si>
  <si>
    <t>82.48</t>
  </si>
  <si>
    <t>80.77</t>
  </si>
  <si>
    <t>80.27</t>
  </si>
  <si>
    <t>77.38</t>
  </si>
  <si>
    <t>118.72</t>
  </si>
  <si>
    <t>124.41</t>
  </si>
  <si>
    <t>100.37</t>
  </si>
  <si>
    <t>130.30</t>
  </si>
  <si>
    <t>39.51</t>
  </si>
  <si>
    <t>38.96</t>
  </si>
  <si>
    <t>13.68</t>
  </si>
  <si>
    <t>16.86</t>
  </si>
  <si>
    <t>7.49</t>
  </si>
  <si>
    <t>505.40</t>
  </si>
  <si>
    <t>59.22</t>
  </si>
  <si>
    <t>48.95</t>
  </si>
  <si>
    <t>72.60</t>
  </si>
  <si>
    <t>55.19</t>
  </si>
  <si>
    <t xml:space="preserve">total </t>
  </si>
  <si>
    <t>Portfolio climate profile</t>
  </si>
  <si>
    <t xml:space="preserve">top emission drivers </t>
  </si>
  <si>
    <t>Company</t>
  </si>
  <si>
    <t>Contribution</t>
  </si>
  <si>
    <t xml:space="preserve"> Transition Leaders</t>
  </si>
  <si>
    <t>Portfolio WACI</t>
  </si>
  <si>
    <t>Carbon trend</t>
  </si>
  <si>
    <t>Highest contributor</t>
  </si>
  <si>
    <t>Lowest emitter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</si>
</sst>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000%"/>
    <numFmt numFmtId="166" formatCode="_-* #,##0_-;\-* #,##0_-;_-* &quot;-&quot;??_-;_-@_-"/>
  </numFmts>
  <fonts count="23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Calibri"/>
      <family val="2"/>
    </font>
    <font>
      <b/>
      <i/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Calibri"/>
    </font>
    <font>
      <sz val="11"/>
      <color rgb="FF628061"/>
      <name val="Aptos Narrow"/>
      <family val="2"/>
      <scheme val="minor"/>
    </font>
    <font>
      <b/>
      <sz val="11"/>
      <color rgb="FF000000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CF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2" fillId="0" borderId="0" xfId="0" applyFont="1"/>
    <xf numFmtId="164" fontId="0" fillId="0" borderId="0" xfId="0" applyNumberFormat="1"/>
    <xf numFmtId="164" fontId="1" fillId="0" borderId="1" xfId="0" applyNumberFormat="1" applyFont="1" applyBorder="1"/>
    <xf numFmtId="14" fontId="0" fillId="0" borderId="0" xfId="0" applyNumberFormat="1"/>
    <xf numFmtId="0" fontId="3" fillId="0" borderId="3" xfId="0" applyFont="1" applyBorder="1"/>
    <xf numFmtId="14" fontId="3" fillId="0" borderId="3" xfId="0" applyNumberFormat="1" applyFont="1" applyBorder="1"/>
    <xf numFmtId="14" fontId="4" fillId="0" borderId="0" xfId="0" applyNumberFormat="1" applyFont="1"/>
    <xf numFmtId="0" fontId="6" fillId="0" borderId="0" xfId="0" applyFont="1"/>
    <xf numFmtId="0" fontId="4" fillId="0" borderId="0" xfId="0" applyFont="1"/>
    <xf numFmtId="1" fontId="0" fillId="0" borderId="0" xfId="0" applyNumberFormat="1"/>
    <xf numFmtId="9" fontId="0" fillId="0" borderId="0" xfId="1" applyFont="1"/>
    <xf numFmtId="0" fontId="0" fillId="0" borderId="5" xfId="0" applyBorder="1"/>
    <xf numFmtId="0" fontId="10" fillId="0" borderId="7" xfId="0" applyFont="1" applyBorder="1" applyAlignment="1">
      <alignment horizontal="center"/>
    </xf>
    <xf numFmtId="0" fontId="3" fillId="0" borderId="0" xfId="0" applyFont="1"/>
    <xf numFmtId="10" fontId="0" fillId="0" borderId="0" xfId="1" applyNumberFormat="1" applyFont="1"/>
    <xf numFmtId="0" fontId="5" fillId="0" borderId="0" xfId="0" applyFont="1"/>
    <xf numFmtId="0" fontId="9" fillId="0" borderId="0" xfId="0" applyFont="1"/>
    <xf numFmtId="14" fontId="3" fillId="0" borderId="4" xfId="0" applyNumberFormat="1" applyFont="1" applyBorder="1"/>
    <xf numFmtId="0" fontId="8" fillId="0" borderId="8" xfId="0" applyFont="1" applyBorder="1"/>
    <xf numFmtId="10" fontId="3" fillId="0" borderId="9" xfId="1" applyNumberFormat="1" applyFont="1" applyBorder="1"/>
    <xf numFmtId="10" fontId="3" fillId="0" borderId="10" xfId="1" applyNumberFormat="1" applyFont="1" applyBorder="1"/>
    <xf numFmtId="10" fontId="5" fillId="0" borderId="9" xfId="1" applyNumberFormat="1" applyFont="1" applyBorder="1"/>
    <xf numFmtId="10" fontId="5" fillId="0" borderId="10" xfId="1" applyNumberFormat="1" applyFont="1" applyBorder="1"/>
    <xf numFmtId="10" fontId="3" fillId="0" borderId="9" xfId="1" applyNumberFormat="1" applyFont="1" applyBorder="1" applyAlignment="1">
      <alignment wrapText="1"/>
    </xf>
    <xf numFmtId="10" fontId="3" fillId="0" borderId="10" xfId="1" applyNumberFormat="1" applyFont="1" applyBorder="1" applyAlignment="1">
      <alignment wrapText="1"/>
    </xf>
    <xf numFmtId="10" fontId="5" fillId="0" borderId="0" xfId="1" applyNumberFormat="1" applyFont="1"/>
    <xf numFmtId="165" fontId="0" fillId="0" borderId="0" xfId="1" applyNumberFormat="1" applyFont="1"/>
    <xf numFmtId="10" fontId="5" fillId="0" borderId="0" xfId="1" applyNumberFormat="1" applyFont="1" applyAlignme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13" fillId="0" borderId="0" xfId="0" applyFont="1" applyAlignment="1">
      <alignment horizontal="center"/>
    </xf>
    <xf numFmtId="9" fontId="1" fillId="0" borderId="12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9" fontId="13" fillId="0" borderId="0" xfId="1" applyFont="1" applyFill="1" applyBorder="1" applyAlignment="1">
      <alignment horizontal="center"/>
    </xf>
    <xf numFmtId="166" fontId="0" fillId="0" borderId="0" xfId="2" applyNumberFormat="1" applyFont="1"/>
    <xf numFmtId="9" fontId="0" fillId="0" borderId="13" xfId="1" applyFont="1" applyBorder="1" applyAlignment="1">
      <alignment horizontal="center"/>
    </xf>
    <xf numFmtId="9" fontId="0" fillId="0" borderId="14" xfId="1" applyFont="1" applyBorder="1"/>
    <xf numFmtId="0" fontId="0" fillId="0" borderId="14" xfId="0" applyBorder="1"/>
    <xf numFmtId="9" fontId="3" fillId="0" borderId="14" xfId="1" applyFont="1" applyBorder="1"/>
    <xf numFmtId="9" fontId="3" fillId="0" borderId="0" xfId="1" applyFont="1"/>
    <xf numFmtId="14" fontId="14" fillId="0" borderId="8" xfId="0" applyNumberFormat="1" applyFont="1" applyBorder="1"/>
    <xf numFmtId="0" fontId="14" fillId="0" borderId="8" xfId="0" applyFont="1" applyBorder="1"/>
    <xf numFmtId="0" fontId="15" fillId="0" borderId="0" xfId="0" applyFont="1"/>
    <xf numFmtId="9" fontId="15" fillId="0" borderId="0" xfId="0" applyNumberFormat="1" applyFont="1"/>
    <xf numFmtId="0" fontId="0" fillId="2" borderId="0" xfId="0" applyFill="1"/>
    <xf numFmtId="0" fontId="0" fillId="2" borderId="15" xfId="0" applyFill="1" applyBorder="1"/>
    <xf numFmtId="0" fontId="0" fillId="3" borderId="0" xfId="0" applyFill="1"/>
    <xf numFmtId="0" fontId="0" fillId="4" borderId="0" xfId="0" applyFill="1"/>
    <xf numFmtId="0" fontId="17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6" fillId="4" borderId="0" xfId="0" applyFont="1" applyFill="1" applyAlignment="1">
      <alignment horizontal="left"/>
    </xf>
    <xf numFmtId="0" fontId="0" fillId="4" borderId="15" xfId="0" applyFill="1" applyBorder="1"/>
    <xf numFmtId="10" fontId="0" fillId="4" borderId="15" xfId="0" applyNumberFormat="1" applyFill="1" applyBorder="1"/>
    <xf numFmtId="10" fontId="0" fillId="4" borderId="16" xfId="0" applyNumberFormat="1" applyFill="1" applyBorder="1"/>
    <xf numFmtId="10" fontId="0" fillId="4" borderId="0" xfId="0" applyNumberFormat="1" applyFill="1"/>
    <xf numFmtId="0" fontId="0" fillId="0" borderId="3" xfId="0" applyBorder="1"/>
    <xf numFmtId="2" fontId="0" fillId="4" borderId="15" xfId="0" applyNumberFormat="1" applyFill="1" applyBorder="1"/>
    <xf numFmtId="2" fontId="0" fillId="4" borderId="16" xfId="0" applyNumberFormat="1" applyFill="1" applyBorder="1"/>
    <xf numFmtId="0" fontId="0" fillId="4" borderId="16" xfId="0" applyFill="1" applyBorder="1"/>
    <xf numFmtId="0" fontId="16" fillId="4" borderId="15" xfId="0" applyFont="1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10" fontId="0" fillId="4" borderId="16" xfId="0" applyNumberFormat="1" applyFill="1" applyBorder="1" applyAlignment="1">
      <alignment horizontal="left"/>
    </xf>
    <xf numFmtId="0" fontId="16" fillId="4" borderId="16" xfId="0" applyFont="1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18" fillId="4" borderId="17" xfId="0" applyFont="1" applyFill="1" applyBorder="1" applyAlignment="1">
      <alignment horizontal="left"/>
    </xf>
    <xf numFmtId="0" fontId="19" fillId="4" borderId="17" xfId="0" applyFont="1" applyFill="1" applyBorder="1" applyAlignment="1">
      <alignment horizontal="left"/>
    </xf>
    <xf numFmtId="164" fontId="20" fillId="0" borderId="1" xfId="0" applyNumberFormat="1" applyFont="1" applyBorder="1"/>
    <xf numFmtId="0" fontId="0" fillId="0" borderId="0" xfId="0" applyAlignment="1">
      <alignment wrapText="1"/>
    </xf>
    <xf numFmtId="0" fontId="15" fillId="0" borderId="3" xfId="0" applyFont="1" applyBorder="1"/>
    <xf numFmtId="164" fontId="15" fillId="0" borderId="3" xfId="0" applyNumberFormat="1" applyFont="1" applyBorder="1"/>
    <xf numFmtId="10" fontId="15" fillId="0" borderId="3" xfId="0" applyNumberFormat="1" applyFont="1" applyBorder="1"/>
    <xf numFmtId="9" fontId="15" fillId="5" borderId="3" xfId="0" applyNumberFormat="1" applyFont="1" applyFill="1" applyBorder="1"/>
    <xf numFmtId="10" fontId="15" fillId="5" borderId="3" xfId="0" applyNumberFormat="1" applyFont="1" applyFill="1" applyBorder="1"/>
    <xf numFmtId="2" fontId="15" fillId="5" borderId="3" xfId="0" applyNumberFormat="1" applyFont="1" applyFill="1" applyBorder="1"/>
    <xf numFmtId="9" fontId="15" fillId="6" borderId="3" xfId="0" applyNumberFormat="1" applyFont="1" applyFill="1" applyBorder="1"/>
    <xf numFmtId="164" fontId="15" fillId="6" borderId="3" xfId="0" applyNumberFormat="1" applyFont="1" applyFill="1" applyBorder="1"/>
    <xf numFmtId="10" fontId="15" fillId="6" borderId="3" xfId="0" applyNumberFormat="1" applyFont="1" applyFill="1" applyBorder="1"/>
    <xf numFmtId="2" fontId="15" fillId="6" borderId="3" xfId="0" applyNumberFormat="1" applyFont="1" applyFill="1" applyBorder="1"/>
    <xf numFmtId="164" fontId="0" fillId="0" borderId="0" xfId="0" applyNumberFormat="1" applyAlignment="1">
      <alignment wrapText="1"/>
    </xf>
    <xf numFmtId="0" fontId="3" fillId="4" borderId="0" xfId="0" applyFont="1" applyFill="1"/>
    <xf numFmtId="0" fontId="3" fillId="4" borderId="17" xfId="0" applyFont="1" applyFill="1" applyBorder="1"/>
    <xf numFmtId="0" fontId="3" fillId="4" borderId="17" xfId="0" applyFont="1" applyFill="1" applyBorder="1" applyAlignment="1">
      <alignment wrapText="1"/>
    </xf>
    <xf numFmtId="0" fontId="3" fillId="4" borderId="16" xfId="0" applyFont="1" applyFill="1" applyBorder="1"/>
    <xf numFmtId="0" fontId="0" fillId="4" borderId="16" xfId="0" applyFill="1" applyBorder="1" applyAlignment="1">
      <alignment wrapText="1"/>
    </xf>
    <xf numFmtId="0" fontId="3" fillId="4" borderId="16" xfId="0" applyFont="1" applyFill="1" applyBorder="1" applyAlignment="1">
      <alignment horizontal="left"/>
    </xf>
    <xf numFmtId="0" fontId="3" fillId="4" borderId="15" xfId="0" applyFont="1" applyFill="1" applyBorder="1"/>
    <xf numFmtId="0" fontId="0" fillId="4" borderId="15" xfId="0" applyFill="1" applyBorder="1" applyAlignment="1">
      <alignment wrapText="1"/>
    </xf>
    <xf numFmtId="9" fontId="3" fillId="4" borderId="15" xfId="0" applyNumberFormat="1" applyFont="1" applyFill="1" applyBorder="1" applyAlignment="1">
      <alignment horizontal="left"/>
    </xf>
    <xf numFmtId="10" fontId="3" fillId="0" borderId="0" xfId="0" applyNumberFormat="1" applyFont="1"/>
    <xf numFmtId="10" fontId="3" fillId="0" borderId="0" xfId="0" quotePrefix="1" applyNumberFormat="1" applyFont="1"/>
    <xf numFmtId="10" fontId="0" fillId="0" borderId="0" xfId="0" applyNumberFormat="1"/>
    <xf numFmtId="0" fontId="3" fillId="4" borderId="17" xfId="0" applyFont="1" applyFill="1" applyBorder="1" applyAlignment="1">
      <alignment horizontal="left"/>
    </xf>
    <xf numFmtId="10" fontId="21" fillId="4" borderId="15" xfId="0" applyNumberFormat="1" applyFont="1" applyFill="1" applyBorder="1" applyAlignment="1">
      <alignment horizontal="left"/>
    </xf>
    <xf numFmtId="0" fontId="0" fillId="4" borderId="16" xfId="0" quotePrefix="1" applyFill="1" applyBorder="1"/>
    <xf numFmtId="9" fontId="0" fillId="4" borderId="15" xfId="0" applyNumberFormat="1" applyFill="1" applyBorder="1" applyAlignment="1">
      <alignment horizontal="left"/>
    </xf>
    <xf numFmtId="9" fontId="0" fillId="0" borderId="0" xfId="0" applyNumberFormat="1"/>
    <xf numFmtId="9" fontId="3" fillId="0" borderId="0" xfId="0" applyNumberFormat="1" applyFont="1"/>
    <xf numFmtId="0" fontId="0" fillId="0" borderId="0" xfId="0" applyAlignment="1">
      <alignment horizontal="right"/>
    </xf>
    <xf numFmtId="9" fontId="0" fillId="0" borderId="0" xfId="0" applyNumberFormat="1" applyAlignment="1">
      <alignment horizontal="left"/>
    </xf>
    <xf numFmtId="0" fontId="3" fillId="7" borderId="0" xfId="0" applyFont="1" applyFill="1"/>
    <xf numFmtId="0" fontId="22" fillId="7" borderId="0" xfId="0" applyFont="1" applyFill="1"/>
    <xf numFmtId="0" fontId="3" fillId="8" borderId="0" xfId="0" applyFont="1" applyFill="1"/>
    <xf numFmtId="9" fontId="3" fillId="8" borderId="0" xfId="0" applyNumberFormat="1" applyFont="1" applyFill="1"/>
    <xf numFmtId="164" fontId="1" fillId="0" borderId="6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20" fillId="0" borderId="6" xfId="0" applyNumberFormat="1" applyFont="1" applyBorder="1" applyAlignment="1">
      <alignment horizontal="center"/>
    </xf>
    <xf numFmtId="164" fontId="20" fillId="0" borderId="2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9" fontId="12" fillId="0" borderId="11" xfId="1" applyFont="1" applyBorder="1" applyAlignment="1">
      <alignment horizontal="center"/>
    </xf>
  </cellXfs>
  <cellStyles count="3">
    <cellStyle name="Milliers" xfId="2" builtinId="3"/>
    <cellStyle name="Normal" xfId="0" builtinId="0"/>
    <cellStyle name="Pourcentage" xfId="1" builtinId="5"/>
  </cellStyles>
  <dxfs count="13">
    <dxf>
      <fill>
        <patternFill patternType="solid">
          <fgColor indexed="64"/>
          <bgColor rgb="FFFFFCF9"/>
        </patternFill>
      </fill>
      <border diagonalUp="0" diagonalDown="0">
        <left/>
        <right/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rgb="FFFFFCF9"/>
        </patternFill>
      </fill>
      <border diagonalUp="0" diagonalDown="0">
        <left/>
        <right/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rgb="FFFFFCF9"/>
        </patternFill>
      </fill>
      <border diagonalUp="0" diagonalDown="0">
        <left/>
        <right/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rgb="FFFFFCF9"/>
        </patternFill>
      </fill>
      <border diagonalUp="0" diagonalDown="0">
        <left/>
        <right/>
        <top style="thin">
          <color rgb="FF000000"/>
        </top>
        <bottom/>
        <vertical/>
        <horizontal/>
      </border>
    </dxf>
    <dxf>
      <numFmt numFmtId="14" formatCode="0.00%"/>
      <fill>
        <patternFill patternType="solid">
          <fgColor indexed="64"/>
          <bgColor rgb="FFFFFCF9"/>
        </patternFill>
      </fill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rgb="FFFFFCF9"/>
        </patternFill>
      </fill>
      <border diagonalUp="0" diagonalDown="0">
        <left/>
        <right/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rgb="FFFFFCF9"/>
        </patternFill>
      </fill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rgb="FFFFFCF9"/>
        </patternFill>
      </fill>
    </dxf>
    <dxf>
      <fill>
        <patternFill patternType="solid">
          <fgColor indexed="64"/>
          <bgColor rgb="FFFFFCF9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colors>
    <mruColors>
      <color rgb="FFFFFCF9"/>
      <color rgb="FF6280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 by Company</a:t>
            </a:r>
          </a:p>
        </c:rich>
      </c:tx>
      <c:layout>
        <c:manualLayout>
          <c:xMode val="edge"/>
          <c:yMode val="edge"/>
          <c:x val="0.23930481909531207"/>
          <c:y val="3.7770048517804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40-4CA6-86E5-CF17588353D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40-4CA6-86E5-CF17588353D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40-4CA6-86E5-CF17588353D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F40-4CA6-86E5-CF17588353D1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F40-4CA6-86E5-CF17588353D1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F40-4CA6-86E5-CF17588353D1}"/>
              </c:ext>
            </c:extLst>
          </c:dPt>
          <c:cat>
            <c:strRef>
              <c:f>'Fact Sheet 1'!$S$4:$S$9</c:f>
              <c:strCache>
                <c:ptCount val="6"/>
                <c:pt idx="0">
                  <c:v>AVGO</c:v>
                </c:pt>
                <c:pt idx="1">
                  <c:v>ORCL</c:v>
                </c:pt>
                <c:pt idx="2">
                  <c:v>GOOGL</c:v>
                </c:pt>
                <c:pt idx="3">
                  <c:v>MA</c:v>
                </c:pt>
                <c:pt idx="4">
                  <c:v>NVDA</c:v>
                </c:pt>
                <c:pt idx="5">
                  <c:v>AAPL</c:v>
                </c:pt>
              </c:strCache>
            </c:strRef>
          </c:cat>
          <c:val>
            <c:numRef>
              <c:f>'Fact Sheet 1'!$T$4:$T$9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C611-477A-9F0E-78AF9C43E22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F40-4CA6-86E5-CF17588353D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F40-4CA6-86E5-CF17588353D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F40-4CA6-86E5-CF17588353D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F40-4CA6-86E5-CF17588353D1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F40-4CA6-86E5-CF17588353D1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F40-4CA6-86E5-CF17588353D1}"/>
              </c:ext>
            </c:extLst>
          </c:dPt>
          <c:cat>
            <c:strRef>
              <c:f>'Fact Sheet 1'!$S$4:$S$9</c:f>
              <c:strCache>
                <c:ptCount val="6"/>
                <c:pt idx="0">
                  <c:v>AVGO</c:v>
                </c:pt>
                <c:pt idx="1">
                  <c:v>ORCL</c:v>
                </c:pt>
                <c:pt idx="2">
                  <c:v>GOOGL</c:v>
                </c:pt>
                <c:pt idx="3">
                  <c:v>MA</c:v>
                </c:pt>
                <c:pt idx="4">
                  <c:v>NVDA</c:v>
                </c:pt>
                <c:pt idx="5">
                  <c:v>AAPL</c:v>
                </c:pt>
              </c:strCache>
            </c:strRef>
          </c:cat>
          <c:val>
            <c:numRef>
              <c:f>'Fact Sheet 1'!$U$4:$U$9</c:f>
              <c:numCache>
                <c:formatCode>0.00%</c:formatCode>
                <c:ptCount val="6"/>
                <c:pt idx="0">
                  <c:v>0.47501974157141491</c:v>
                </c:pt>
                <c:pt idx="1">
                  <c:v>0.1980803499155466</c:v>
                </c:pt>
                <c:pt idx="2">
                  <c:v>0.14450369445422295</c:v>
                </c:pt>
                <c:pt idx="3">
                  <c:v>0.12041573537610309</c:v>
                </c:pt>
                <c:pt idx="4">
                  <c:v>3.5991036632313865E-2</c:v>
                </c:pt>
                <c:pt idx="5">
                  <c:v>2.5989442050399002E-2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11-477A-9F0E-78AF9C43E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CF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{"Group Portfolio"}</c:f>
              <c:strCache>
                <c:ptCount val="1"/>
                <c:pt idx="0">
                  <c:v>Group Portfolio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'Fact Sheet 2'!$M$2:$M$7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2'!U2:U7</c:f>
              <c:numCache>
                <c:formatCode>General</c:formatCode>
                <c:ptCount val="6"/>
                <c:pt idx="0">
                  <c:v>15809.506928427223</c:v>
                </c:pt>
                <c:pt idx="1">
                  <c:v>21572.206512212149</c:v>
                </c:pt>
                <c:pt idx="2">
                  <c:v>18047.898764465404</c:v>
                </c:pt>
                <c:pt idx="3">
                  <c:v>30758.776122872372</c:v>
                </c:pt>
                <c:pt idx="4">
                  <c:v>50831.487060014784</c:v>
                </c:pt>
                <c:pt idx="5">
                  <c:v>87651.06998874445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A-40CF-962B-80B9A7E0D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101896"/>
        <c:axId val="1536108552"/>
      </c:lineChart>
      <c:catAx>
        <c:axId val="1536101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08552"/>
        <c:crosses val="autoZero"/>
        <c:auto val="1"/>
        <c:lblAlgn val="ctr"/>
        <c:lblOffset val="100"/>
        <c:noMultiLvlLbl val="0"/>
      </c:catAx>
      <c:valAx>
        <c:axId val="153610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0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2639760442084612E-2"/>
          <c:y val="0.89331242750183981"/>
          <c:w val="0.2315678040244969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'Fact Sheet 2'!$AD$7</c:f>
              <c:strCache>
                <c:ptCount val="1"/>
                <c:pt idx="0">
                  <c:v>SEEGX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'Fact Sheet 2'!$Y$8:$Y$13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2'!$AD$8:$AD$14</c:f>
              <c:numCache>
                <c:formatCode>0</c:formatCode>
                <c:ptCount val="7"/>
                <c:pt idx="0" formatCode="General">
                  <c:v>10000</c:v>
                </c:pt>
                <c:pt idx="1">
                  <c:v>15604</c:v>
                </c:pt>
                <c:pt idx="2">
                  <c:v>18489.179599999999</c:v>
                </c:pt>
                <c:pt idx="3">
                  <c:v>13791.07906364</c:v>
                </c:pt>
                <c:pt idx="4">
                  <c:v>18565.550635472169</c:v>
                </c:pt>
                <c:pt idx="5">
                  <c:v>24848.132970515951</c:v>
                </c:pt>
                <c:pt idx="6">
                  <c:v>28893.409018115948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9E-4C90-A701-91DE5D49F8F2}"/>
            </c:ext>
          </c:extLst>
        </c:ser>
        <c:ser>
          <c:idx val="1"/>
          <c:order val="1"/>
          <c:tx>
            <c:strRef>
              <c:f>'Fact Sheet 2'!$AE$7</c:f>
              <c:strCache>
                <c:ptCount val="1"/>
                <c:pt idx="0">
                  <c:v>Russell 1000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'Fact Sheet 2'!$Y$8:$Y$13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2'!$AE$8:$AE$14</c:f>
              <c:numCache>
                <c:formatCode>0</c:formatCode>
                <c:ptCount val="7"/>
                <c:pt idx="0" formatCode="General">
                  <c:v>10000</c:v>
                </c:pt>
                <c:pt idx="1">
                  <c:v>12096</c:v>
                </c:pt>
                <c:pt idx="2">
                  <c:v>15296.6016</c:v>
                </c:pt>
                <c:pt idx="3">
                  <c:v>12370.36171392</c:v>
                </c:pt>
                <c:pt idx="4">
                  <c:v>15652.218676622973</c:v>
                </c:pt>
                <c:pt idx="5">
                  <c:v>19488.577474263264</c:v>
                </c:pt>
                <c:pt idx="6">
                  <c:v>22844.510515331396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9E-4C90-A701-91DE5D49F8F2}"/>
            </c:ext>
          </c:extLst>
        </c:ser>
        <c:ser>
          <c:idx val="2"/>
          <c:order val="2"/>
          <c:tx>
            <c:strRef>
              <c:f>'Fact Sheet 2'!$AF$7</c:f>
              <c:strCache>
                <c:ptCount val="1"/>
                <c:pt idx="0">
                  <c:v>MSCI World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numRef>
              <c:f>'Fact Sheet 2'!$Y$8:$Y$13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2'!$AF$8:$AF$14</c:f>
              <c:numCache>
                <c:formatCode>0</c:formatCode>
                <c:ptCount val="7"/>
                <c:pt idx="0" formatCode="General">
                  <c:v>10000</c:v>
                </c:pt>
                <c:pt idx="1">
                  <c:v>11590</c:v>
                </c:pt>
                <c:pt idx="2">
                  <c:v>14118.938</c:v>
                </c:pt>
                <c:pt idx="3">
                  <c:v>11557.7626468</c:v>
                </c:pt>
                <c:pt idx="4">
                  <c:v>14307.35438047372</c:v>
                </c:pt>
                <c:pt idx="5">
                  <c:v>16978.537443308163</c:v>
                </c:pt>
                <c:pt idx="6">
                  <c:v>20292.747952241916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9E-4C90-A701-91DE5D49F8F2}"/>
            </c:ext>
          </c:extLst>
        </c:ser>
        <c:ser>
          <c:idx val="3"/>
          <c:order val="3"/>
          <c:tx>
            <c:strRef>
              <c:f>'Fact Sheet 2'!$AG$7</c:f>
              <c:strCache>
                <c:ptCount val="1"/>
                <c:pt idx="0">
                  <c:v>Group Portfolio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numRef>
              <c:f>'Fact Sheet 2'!$Y$8:$Y$13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'Fact Sheet 2'!$AG$8:$AG$14</c:f>
              <c:numCache>
                <c:formatCode>0</c:formatCode>
                <c:ptCount val="7"/>
                <c:pt idx="0" formatCode="General">
                  <c:v>10000</c:v>
                </c:pt>
                <c:pt idx="1">
                  <c:v>15809.506928427223</c:v>
                </c:pt>
                <c:pt idx="2">
                  <c:v>21572.206512212149</c:v>
                </c:pt>
                <c:pt idx="3">
                  <c:v>18047.898764465404</c:v>
                </c:pt>
                <c:pt idx="4">
                  <c:v>30758.776122872372</c:v>
                </c:pt>
                <c:pt idx="5">
                  <c:v>50831.487060014784</c:v>
                </c:pt>
                <c:pt idx="6">
                  <c:v>87651.06998874445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9E-4C90-A701-91DE5D49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760711"/>
        <c:axId val="690783751"/>
      </c:lineChart>
      <c:catAx>
        <c:axId val="69076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783751"/>
        <c:crosses val="autoZero"/>
        <c:auto val="1"/>
        <c:lblAlgn val="ctr"/>
        <c:lblOffset val="100"/>
        <c:noMultiLvlLbl val="0"/>
      </c:catAx>
      <c:valAx>
        <c:axId val="690783751"/>
        <c:scaling>
          <c:orientation val="minMax"/>
          <c:min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760711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Efficient portfolio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2057189660525165E-2"/>
          <c:y val="0.12233151411034023"/>
          <c:w val="0.8789812571524247"/>
          <c:h val="0.65603232789124655"/>
        </c:manualLayout>
      </c:layout>
      <c:scatterChart>
        <c:scatterStyle val="smoothMarker"/>
        <c:varyColors val="0"/>
        <c:ser>
          <c:idx val="0"/>
          <c:order val="0"/>
          <c:tx>
            <c:v>Efficient portfolio frontier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814758321781987E-2"/>
                  <c:y val="1.48667266581742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GMVP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34F-48E6-BA14-E13B193F5D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'Efficient portfolio frontier'!$AF$20:$AF$28</c:f>
              <c:numCache>
                <c:formatCode>0%</c:formatCode>
                <c:ptCount val="9"/>
                <c:pt idx="0">
                  <c:v>0.17393548467731315</c:v>
                </c:pt>
                <c:pt idx="1">
                  <c:v>0.18144277092455996</c:v>
                </c:pt>
                <c:pt idx="2">
                  <c:v>0.19802524451512879</c:v>
                </c:pt>
                <c:pt idx="3">
                  <c:v>0.22021991181090256</c:v>
                </c:pt>
                <c:pt idx="4">
                  <c:v>0.24631218717714326</c:v>
                </c:pt>
                <c:pt idx="5">
                  <c:v>0.27541565933548717</c:v>
                </c:pt>
                <c:pt idx="6">
                  <c:v>0.30788539446784435</c:v>
                </c:pt>
                <c:pt idx="7">
                  <c:v>0.40745705792250664</c:v>
                </c:pt>
                <c:pt idx="8">
                  <c:v>0.48492710671953959</c:v>
                </c:pt>
              </c:numCache>
            </c:numRef>
          </c:xVal>
          <c:yVal>
            <c:numRef>
              <c:f>'Efficient portfolio frontier'!$AD$20:$AD$28</c:f>
              <c:numCache>
                <c:formatCode>0%</c:formatCode>
                <c:ptCount val="9"/>
                <c:pt idx="0">
                  <c:v>0.1590200325007457</c:v>
                </c:pt>
                <c:pt idx="1">
                  <c:v>0.20000000099236942</c:v>
                </c:pt>
                <c:pt idx="2">
                  <c:v>0.25000000303278369</c:v>
                </c:pt>
                <c:pt idx="3">
                  <c:v>0.29999999926761167</c:v>
                </c:pt>
                <c:pt idx="4">
                  <c:v>0.34999999917168145</c:v>
                </c:pt>
                <c:pt idx="5">
                  <c:v>0.40000099920750437</c:v>
                </c:pt>
                <c:pt idx="6">
                  <c:v>0.44999999893075576</c:v>
                </c:pt>
                <c:pt idx="7">
                  <c:v>0.50000000000033462</c:v>
                </c:pt>
                <c:pt idx="8">
                  <c:v>0.51174348668741909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34F-48E6-BA14-E13B193F5D87}"/>
            </c:ext>
          </c:extLst>
        </c:ser>
        <c:ser>
          <c:idx val="1"/>
          <c:order val="1"/>
          <c:tx>
            <c:v>Risk free rate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'Efficient portfolio frontier'!AF29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Ref>
              <c:f>'Efficient portfolio frontier'!AD29</c:f>
              <c:numCache>
                <c:formatCode>0%</c:formatCode>
                <c:ptCount val="1"/>
                <c:pt idx="0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1E-4DFD-B566-986086309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947439"/>
        <c:axId val="1444940239"/>
      </c:scatterChart>
      <c:valAx>
        <c:axId val="144494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Standar</a:t>
                </a:r>
                <a:r>
                  <a:rPr lang="fr-FR" baseline="0"/>
                  <a:t> deviation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4940239"/>
        <c:crosses val="autoZero"/>
        <c:crossBetween val="midCat"/>
      </c:valAx>
      <c:valAx>
        <c:axId val="14449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Expected</a:t>
                </a:r>
                <a:r>
                  <a:rPr lang="fr-FR" baseline="0"/>
                  <a:t> return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4947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13</xdr:row>
      <xdr:rowOff>0</xdr:rowOff>
    </xdr:from>
    <xdr:to>
      <xdr:col>16</xdr:col>
      <xdr:colOff>38100</xdr:colOff>
      <xdr:row>19</xdr:row>
      <xdr:rowOff>152400</xdr:rowOff>
    </xdr:to>
    <xdr:pic>
      <xdr:nvPicPr>
        <xdr:cNvPr id="2" name="">
          <a:extLst>
            <a:ext uri="{FF2B5EF4-FFF2-40B4-BE49-F238E27FC236}">
              <a16:creationId xmlns:a16="http://schemas.microsoft.com/office/drawing/2014/main" id="{9431D25E-E908-1086-5E76-8F05C0A05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0" y="2333625"/>
          <a:ext cx="2495550" cy="1295400"/>
        </a:xfrm>
        <a:prstGeom prst="rect">
          <a:avLst/>
        </a:prstGeom>
      </xdr:spPr>
    </xdr:pic>
    <xdr:clientData/>
  </xdr:twoCellAnchor>
  <xdr:twoCellAnchor>
    <xdr:from>
      <xdr:col>21</xdr:col>
      <xdr:colOff>161925</xdr:colOff>
      <xdr:row>1</xdr:row>
      <xdr:rowOff>228600</xdr:rowOff>
    </xdr:from>
    <xdr:to>
      <xdr:col>28</xdr:col>
      <xdr:colOff>466725</xdr:colOff>
      <xdr:row>16</xdr:row>
      <xdr:rowOff>66675</xdr:rowOff>
    </xdr:to>
    <xdr:graphicFrame macro="">
      <xdr:nvGraphicFramePr>
        <xdr:cNvPr id="30" name="Graphique 2">
          <a:extLst>
            <a:ext uri="{FF2B5EF4-FFF2-40B4-BE49-F238E27FC236}">
              <a16:creationId xmlns:a16="http://schemas.microsoft.com/office/drawing/2014/main" id="{85522BC6-DDE3-F0C7-82AB-2448D7A3B190}"/>
            </a:ext>
            <a:ext uri="{147F2762-F138-4A5C-976F-8EAC2B608ADB}">
              <a16:predDERef xmlns:a16="http://schemas.microsoft.com/office/drawing/2014/main" pred="{9431D25E-E908-1086-5E76-8F05C0A05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352425</xdr:colOff>
      <xdr:row>8</xdr:row>
      <xdr:rowOff>171450</xdr:rowOff>
    </xdr:from>
    <xdr:to>
      <xdr:col>20</xdr:col>
      <xdr:colOff>1876425</xdr:colOff>
      <xdr:row>23</xdr:row>
      <xdr:rowOff>57150</xdr:rowOff>
    </xdr:to>
    <xdr:graphicFrame macro="">
      <xdr:nvGraphicFramePr>
        <xdr:cNvPr id="18" name="Graphique 1">
          <a:extLst>
            <a:ext uri="{FF2B5EF4-FFF2-40B4-BE49-F238E27FC236}">
              <a16:creationId xmlns:a16="http://schemas.microsoft.com/office/drawing/2014/main" id="{2AABBFB4-E361-D60F-D13A-FA18A6450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828675</xdr:colOff>
      <xdr:row>14</xdr:row>
      <xdr:rowOff>161925</xdr:rowOff>
    </xdr:from>
    <xdr:to>
      <xdr:col>28</xdr:col>
      <xdr:colOff>457200</xdr:colOff>
      <xdr:row>32</xdr:row>
      <xdr:rowOff>47625</xdr:rowOff>
    </xdr:to>
    <xdr:graphicFrame macro="">
      <xdr:nvGraphicFramePr>
        <xdr:cNvPr id="7" name="Graphique 1">
          <a:extLst>
            <a:ext uri="{FF2B5EF4-FFF2-40B4-BE49-F238E27FC236}">
              <a16:creationId xmlns:a16="http://schemas.microsoft.com/office/drawing/2014/main" id="{D0072EF5-7FDC-2AD5-7218-856A7284230C}"/>
            </a:ext>
            <a:ext uri="{147F2762-F138-4A5C-976F-8EAC2B608ADB}">
              <a16:predDERef xmlns:a16="http://schemas.microsoft.com/office/drawing/2014/main" pred="{2AABBFB4-E361-D60F-D13A-FA18A6450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284529</xdr:colOff>
      <xdr:row>29</xdr:row>
      <xdr:rowOff>44937</xdr:rowOff>
    </xdr:from>
    <xdr:to>
      <xdr:col>17</xdr:col>
      <xdr:colOff>317501</xdr:colOff>
      <xdr:row>48</xdr:row>
      <xdr:rowOff>183174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623DAF7-AEC9-585B-4F55-BBB76D388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fichage1" id="{CE8A84D8-9E65-4080-AC24-61C559EFD92C}">
    <nsvFilter filterId="{44B29959-061A-46BB-BA39-0311D566DB7D}" ref="E18:E19" tableId="1"/>
    <nsvFilter filterId="{099F564F-E996-4D9F-94B9-C57109AD73D3}" ref="A1:G13" tableId="2">
      <sortRules>
        <sortRule colId="2" id="{52E8B7FD-4983-4F19-91CB-EFA05DED3E27}">
          <sortCondition descending="1" ref="C1:C13"/>
        </sortRule>
      </sortRules>
    </nsvFilter>
  </namedSheetView>
</namedSheetView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B29959-061A-46BB-BA39-0311D566DB7D}" name="Tableau1" displayName="Tableau1" ref="E18:E19" insertRow="1" totalsRowShown="0" headerRowDxfId="12" dataDxfId="11">
  <autoFilter ref="E18:E19" xr:uid="{44B29959-061A-46BB-BA39-0311D566DB7D}"/>
  <tableColumns count="1">
    <tableColumn id="1" xr3:uid="{A62A4E12-3631-4197-8040-75D451C560B8}" name="Colonne1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9F564F-E996-4D9F-94B9-C57109AD73D3}" name="Tableau2" displayName="Tableau2" ref="A1:G13" totalsRowShown="0" headerRowDxfId="9" dataDxfId="8" tableBorderDxfId="7">
  <autoFilter ref="A1:G13" xr:uid="{099F564F-E996-4D9F-94B9-C57109AD73D3}"/>
  <sortState xmlns:xlrd2="http://schemas.microsoft.com/office/spreadsheetml/2017/richdata2" ref="A2:G13">
    <sortCondition descending="1" ref="C1:C13"/>
  </sortState>
  <tableColumns count="7">
    <tableColumn id="1" xr3:uid="{567B6AE7-CC25-47F9-9DA5-8F0B40A7EA86}" name="Holdings" dataDxfId="6"/>
    <tableColumn id="2" xr3:uid="{FE0D3F54-FBB1-4D5E-A392-BE12F310822A}" name="Colonne1" dataDxfId="5"/>
    <tableColumn id="3" xr3:uid="{52E8B7FD-4983-4F19-91CB-EFA05DED3E27}" name="Colonne2" dataDxfId="4"/>
    <tableColumn id="4" xr3:uid="{1BF055E7-7809-45FE-B3F3-A85A931EC98B}" name="Colonne3" dataDxfId="3"/>
    <tableColumn id="5" xr3:uid="{832B1776-77BA-4A82-80B8-BE48C031798D}" name="Colonne4" dataDxfId="2"/>
    <tableColumn id="6" xr3:uid="{CF653BDB-342C-4FC1-9855-B7ABEB60D7DB}" name="Colonne5" dataDxfId="1"/>
    <tableColumn id="7" xr3:uid="{DAACBF94-8D90-4ADD-A640-2C0E8B1B1D7D}" name="Colonne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8B08BB-A252-4476-A818-B7DB36AE0A56}">
  <we:reference id="wa104100404" version="3.0.0.1" store="en-US" storeType="omex"/>
  <we:alternateReferences>
    <we:reference id="wa104100404" version="3.0.0.1" store="en-US" storeType="omex"/>
  </we:alternateReferences>
  <we:properties>
    <we:property name="UniqueID" value="&quot;202629177309343362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microsoft.com/office/2019/04/relationships/namedSheetView" Target="../namedSheetViews/namedSheetView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6701-C54A-4E2E-BC2C-532D2E6D308B}">
  <dimension ref="A2:N64"/>
  <sheetViews>
    <sheetView workbookViewId="0">
      <selection activeCell="E16" sqref="E16"/>
    </sheetView>
  </sheetViews>
  <sheetFormatPr defaultColWidth="8.7109375" defaultRowHeight="15"/>
  <cols>
    <col min="1" max="1" width="11.140625" bestFit="1" customWidth="1"/>
    <col min="13" max="13" width="11.140625" customWidth="1"/>
  </cols>
  <sheetData>
    <row r="2" spans="1:14">
      <c r="A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4" s="11" customFormat="1">
      <c r="A3" s="9">
        <v>44075</v>
      </c>
      <c r="B3" s="10">
        <v>112.6504</v>
      </c>
      <c r="C3" s="10">
        <v>157.4365</v>
      </c>
      <c r="D3" s="10">
        <v>32.265610000000002</v>
      </c>
      <c r="E3" s="10">
        <v>72.778040000000004</v>
      </c>
      <c r="F3" s="10">
        <v>328.34660000000002</v>
      </c>
      <c r="G3" s="10">
        <v>260.29539999999997</v>
      </c>
      <c r="H3" s="10">
        <v>201.66980000000001</v>
      </c>
      <c r="I3" s="10">
        <v>13.485290000000001</v>
      </c>
      <c r="J3" s="10">
        <v>55.460349999999998</v>
      </c>
      <c r="K3" s="10">
        <v>143.0033</v>
      </c>
      <c r="N3"/>
    </row>
    <row r="4" spans="1:14" s="11" customFormat="1">
      <c r="A4" s="9">
        <v>44105</v>
      </c>
      <c r="B4" s="10">
        <v>105.8901</v>
      </c>
      <c r="C4" s="10">
        <v>151.8075</v>
      </c>
      <c r="D4" s="10">
        <v>31.24691</v>
      </c>
      <c r="E4" s="10">
        <v>80.251999999999995</v>
      </c>
      <c r="F4" s="10">
        <v>280.25540000000001</v>
      </c>
      <c r="G4" s="10">
        <v>261.49790000000002</v>
      </c>
      <c r="H4" s="10">
        <v>194.13339999999999</v>
      </c>
      <c r="I4" s="10">
        <v>12.495850000000001</v>
      </c>
      <c r="J4" s="10">
        <v>52.125279999999997</v>
      </c>
      <c r="K4" s="10">
        <v>129.3467</v>
      </c>
      <c r="N4"/>
    </row>
    <row r="5" spans="1:14" s="11" customFormat="1">
      <c r="A5" s="9">
        <v>44136</v>
      </c>
      <c r="B5" s="10">
        <v>115.8021</v>
      </c>
      <c r="C5" s="10">
        <v>158.40199999999999</v>
      </c>
      <c r="D5" s="10">
        <v>35.889749999999999</v>
      </c>
      <c r="E5" s="10">
        <v>87.119129999999998</v>
      </c>
      <c r="F5" s="10">
        <v>327.11540000000002</v>
      </c>
      <c r="G5" s="10">
        <v>275.27300000000002</v>
      </c>
      <c r="H5" s="10">
        <v>205.25569999999999</v>
      </c>
      <c r="I5" s="10">
        <v>13.360720000000001</v>
      </c>
      <c r="J5" s="10">
        <v>53.838090000000001</v>
      </c>
      <c r="K5" s="10">
        <v>189.2</v>
      </c>
      <c r="N5"/>
    </row>
    <row r="6" spans="1:14" s="11" customFormat="1">
      <c r="A6" s="9">
        <v>44166</v>
      </c>
      <c r="B6" s="10">
        <v>129.29259999999999</v>
      </c>
      <c r="C6" s="10">
        <v>162.84649999999999</v>
      </c>
      <c r="D6" s="10">
        <v>39.131250000000001</v>
      </c>
      <c r="E6" s="10">
        <v>87.031750000000002</v>
      </c>
      <c r="F6" s="10">
        <v>346.97500000000002</v>
      </c>
      <c r="G6" s="10">
        <v>271.4864</v>
      </c>
      <c r="H6" s="10">
        <v>213.8203</v>
      </c>
      <c r="I6" s="10">
        <v>13.015269999999999</v>
      </c>
      <c r="J6" s="10">
        <v>60.339309999999998</v>
      </c>
      <c r="K6" s="10">
        <v>235.22329999999999</v>
      </c>
    </row>
    <row r="7" spans="1:14">
      <c r="A7" s="6">
        <v>44197</v>
      </c>
      <c r="B7" s="3">
        <v>128.5813</v>
      </c>
      <c r="C7" s="3">
        <v>160.31</v>
      </c>
      <c r="D7" s="3">
        <v>40.604869999999998</v>
      </c>
      <c r="E7" s="3">
        <v>90.742140000000006</v>
      </c>
      <c r="F7" s="3">
        <v>307.45979999999997</v>
      </c>
      <c r="G7" s="3">
        <v>256.7473</v>
      </c>
      <c r="H7" s="3">
        <v>222.9914</v>
      </c>
      <c r="I7" s="3">
        <v>12.954040000000001</v>
      </c>
      <c r="J7" s="3">
        <v>56.365819999999999</v>
      </c>
      <c r="K7" s="3">
        <v>264.51</v>
      </c>
    </row>
    <row r="8" spans="1:14">
      <c r="A8" s="6">
        <v>44228</v>
      </c>
      <c r="B8" s="3">
        <v>118.1553</v>
      </c>
      <c r="C8" s="3">
        <v>154.6465</v>
      </c>
      <c r="D8" s="3">
        <v>42.350729999999999</v>
      </c>
      <c r="E8" s="3">
        <v>100.40300000000001</v>
      </c>
      <c r="F8" s="3">
        <v>344.40730000000002</v>
      </c>
      <c r="G8" s="3">
        <v>256.04160000000002</v>
      </c>
      <c r="H8" s="3">
        <v>223.39519999999999</v>
      </c>
      <c r="I8" s="3">
        <v>13.6768</v>
      </c>
      <c r="J8" s="3">
        <v>60.401670000000003</v>
      </c>
      <c r="K8" s="3">
        <v>225.16669999999999</v>
      </c>
    </row>
    <row r="9" spans="1:14">
      <c r="A9" s="6">
        <v>44256</v>
      </c>
      <c r="B9" s="3">
        <v>119.2003</v>
      </c>
      <c r="C9" s="3">
        <v>154.70400000000001</v>
      </c>
      <c r="D9" s="3">
        <v>41.79101</v>
      </c>
      <c r="E9" s="3">
        <v>102.4196</v>
      </c>
      <c r="F9" s="3">
        <v>346.54849999999999</v>
      </c>
      <c r="G9" s="3">
        <v>292.72539999999998</v>
      </c>
      <c r="H9" s="3">
        <v>227.17619999999999</v>
      </c>
      <c r="I9" s="3">
        <v>13.31156</v>
      </c>
      <c r="J9" s="3">
        <v>65.701210000000003</v>
      </c>
      <c r="K9" s="3">
        <v>222.64330000000001</v>
      </c>
    </row>
    <row r="10" spans="1:14">
      <c r="A10" s="6">
        <v>44287</v>
      </c>
      <c r="B10" s="3">
        <v>128.28550000000001</v>
      </c>
      <c r="C10" s="3">
        <v>173.37100000000001</v>
      </c>
      <c r="D10" s="3">
        <v>41.44003</v>
      </c>
      <c r="E10" s="3">
        <v>116.8689</v>
      </c>
      <c r="F10" s="3">
        <v>371.86450000000002</v>
      </c>
      <c r="G10" s="3">
        <v>323.08819999999997</v>
      </c>
      <c r="H10" s="3">
        <v>242.988</v>
      </c>
      <c r="I10" s="3">
        <v>14.973409999999999</v>
      </c>
      <c r="J10" s="3">
        <v>70.963319999999996</v>
      </c>
      <c r="K10" s="3">
        <v>236.48</v>
      </c>
    </row>
    <row r="11" spans="1:14">
      <c r="A11" s="6">
        <v>44317</v>
      </c>
      <c r="B11" s="3">
        <v>121.6009</v>
      </c>
      <c r="C11" s="3">
        <v>161.15350000000001</v>
      </c>
      <c r="D11" s="3">
        <v>42.905239999999999</v>
      </c>
      <c r="E11" s="3">
        <v>117.03530000000001</v>
      </c>
      <c r="F11" s="3">
        <v>351.37430000000001</v>
      </c>
      <c r="G11" s="3">
        <v>326.71589999999998</v>
      </c>
      <c r="H11" s="3">
        <v>240.57910000000001</v>
      </c>
      <c r="I11" s="3">
        <v>16.205439999999999</v>
      </c>
      <c r="J11" s="3">
        <v>74.044430000000006</v>
      </c>
      <c r="K11" s="3">
        <v>208.4067</v>
      </c>
    </row>
    <row r="12" spans="1:14">
      <c r="A12" s="6">
        <v>44348</v>
      </c>
      <c r="B12" s="3">
        <v>133.87970000000001</v>
      </c>
      <c r="C12" s="3">
        <v>172.00800000000001</v>
      </c>
      <c r="D12" s="3">
        <v>43.314909999999998</v>
      </c>
      <c r="E12" s="3">
        <v>121.25320000000001</v>
      </c>
      <c r="F12" s="3">
        <v>355.76909999999998</v>
      </c>
      <c r="G12" s="3">
        <v>345.57960000000003</v>
      </c>
      <c r="H12" s="3">
        <v>261.62830000000002</v>
      </c>
      <c r="I12" s="3">
        <v>19.9544</v>
      </c>
      <c r="J12" s="3">
        <v>73.198080000000004</v>
      </c>
      <c r="K12" s="3">
        <v>226.5667</v>
      </c>
    </row>
    <row r="13" spans="1:14">
      <c r="A13" s="6">
        <v>44378</v>
      </c>
      <c r="B13" s="3">
        <v>142.5795</v>
      </c>
      <c r="C13" s="3">
        <v>166.37950000000001</v>
      </c>
      <c r="D13" s="3">
        <v>44.437629999999999</v>
      </c>
      <c r="E13" s="3">
        <v>133.80359999999999</v>
      </c>
      <c r="F13" s="3">
        <v>376.08679999999998</v>
      </c>
      <c r="G13" s="3">
        <v>354.11689999999999</v>
      </c>
      <c r="H13" s="3">
        <v>275.15890000000002</v>
      </c>
      <c r="I13" s="3">
        <v>19.456569999999999</v>
      </c>
      <c r="J13" s="3">
        <v>81.943479999999994</v>
      </c>
      <c r="K13" s="3">
        <v>229.0667</v>
      </c>
    </row>
    <row r="14" spans="1:14">
      <c r="A14" s="6">
        <v>44409</v>
      </c>
      <c r="B14" s="3">
        <v>148.4153</v>
      </c>
      <c r="C14" s="3">
        <v>173.5395</v>
      </c>
      <c r="D14" s="3">
        <v>45.518810000000002</v>
      </c>
      <c r="E14" s="3">
        <v>143.7063</v>
      </c>
      <c r="F14" s="3">
        <v>337.78820000000002</v>
      </c>
      <c r="G14" s="3">
        <v>377.05549999999999</v>
      </c>
      <c r="H14" s="3">
        <v>291.54809999999998</v>
      </c>
      <c r="I14" s="3">
        <v>22.336290000000002</v>
      </c>
      <c r="J14" s="3">
        <v>84.123990000000006</v>
      </c>
      <c r="K14" s="3">
        <v>245.24</v>
      </c>
    </row>
    <row r="15" spans="1:14">
      <c r="A15" s="6">
        <v>44440</v>
      </c>
      <c r="B15" s="3">
        <v>138.5248</v>
      </c>
      <c r="C15" s="3">
        <v>164.25200000000001</v>
      </c>
      <c r="D15" s="3">
        <v>44.394599999999997</v>
      </c>
      <c r="E15" s="3">
        <v>132.7603</v>
      </c>
      <c r="F15" s="3">
        <v>339.20280000000002</v>
      </c>
      <c r="G15" s="3">
        <v>337.31060000000002</v>
      </c>
      <c r="H15" s="3">
        <v>272.79250000000002</v>
      </c>
      <c r="I15" s="3">
        <v>20.674569999999999</v>
      </c>
      <c r="J15" s="3">
        <v>82.236320000000006</v>
      </c>
      <c r="K15" s="3">
        <v>258.49329999999998</v>
      </c>
    </row>
    <row r="16" spans="1:14">
      <c r="A16" s="6">
        <v>44470</v>
      </c>
      <c r="B16" s="3">
        <v>146.65029999999999</v>
      </c>
      <c r="C16" s="3">
        <v>168.6215</v>
      </c>
      <c r="D16" s="3">
        <v>49.030290000000001</v>
      </c>
      <c r="E16" s="3">
        <v>147.03190000000001</v>
      </c>
      <c r="F16" s="3">
        <v>327.33920000000001</v>
      </c>
      <c r="G16" s="3">
        <v>321.58760000000001</v>
      </c>
      <c r="H16" s="3">
        <v>320.88330000000002</v>
      </c>
      <c r="I16" s="3">
        <v>25.51586</v>
      </c>
      <c r="J16" s="3">
        <v>90.551509999999993</v>
      </c>
      <c r="K16" s="3">
        <v>371.33330000000001</v>
      </c>
    </row>
    <row r="17" spans="1:11">
      <c r="A17" s="6">
        <v>44501</v>
      </c>
      <c r="B17" s="3">
        <v>161.8244</v>
      </c>
      <c r="C17" s="3">
        <v>175.3535</v>
      </c>
      <c r="D17" s="3">
        <v>51.060040000000001</v>
      </c>
      <c r="E17" s="3">
        <v>140.9255</v>
      </c>
      <c r="F17" s="3">
        <v>307.62970000000001</v>
      </c>
      <c r="G17" s="3">
        <v>322.47199999999998</v>
      </c>
      <c r="H17" s="3">
        <v>319.88670000000002</v>
      </c>
      <c r="I17" s="3">
        <v>32.61065</v>
      </c>
      <c r="J17" s="3">
        <v>85.941509999999994</v>
      </c>
      <c r="K17" s="3">
        <v>381.58670000000001</v>
      </c>
    </row>
    <row r="18" spans="1:11">
      <c r="A18" s="6">
        <v>44531</v>
      </c>
      <c r="B18" s="3">
        <v>174.09020000000001</v>
      </c>
      <c r="C18" s="3">
        <v>166.71700000000001</v>
      </c>
      <c r="D18" s="3">
        <v>61.363720000000001</v>
      </c>
      <c r="E18" s="3">
        <v>143.85980000000001</v>
      </c>
      <c r="F18" s="3">
        <v>351.00189999999998</v>
      </c>
      <c r="G18" s="3">
        <v>334.28919999999999</v>
      </c>
      <c r="H18" s="3">
        <v>326.02659999999997</v>
      </c>
      <c r="I18" s="3">
        <v>29.352180000000001</v>
      </c>
      <c r="J18" s="3">
        <v>82.598169999999996</v>
      </c>
      <c r="K18" s="3">
        <v>352.26</v>
      </c>
    </row>
    <row r="19" spans="1:11">
      <c r="A19" s="6">
        <v>44562</v>
      </c>
      <c r="B19" s="3">
        <v>171.35480000000001</v>
      </c>
      <c r="C19" s="3">
        <v>149.5735</v>
      </c>
      <c r="D19" s="3">
        <v>54.375129999999999</v>
      </c>
      <c r="E19" s="3">
        <v>134.3767</v>
      </c>
      <c r="F19" s="3">
        <v>377.43549999999999</v>
      </c>
      <c r="G19" s="3">
        <v>311.34070000000003</v>
      </c>
      <c r="H19" s="3">
        <v>301.46210000000002</v>
      </c>
      <c r="I19" s="3">
        <v>24.440020000000001</v>
      </c>
      <c r="J19" s="3">
        <v>76.868110000000001</v>
      </c>
      <c r="K19" s="3">
        <v>312.24</v>
      </c>
    </row>
    <row r="20" spans="1:11">
      <c r="A20" s="6">
        <v>44593</v>
      </c>
      <c r="B20" s="3">
        <v>161.88409999999999</v>
      </c>
      <c r="C20" s="3">
        <v>153.56299999999999</v>
      </c>
      <c r="D20" s="3">
        <v>54.519919999999999</v>
      </c>
      <c r="E20" s="3">
        <v>134.1319</v>
      </c>
      <c r="F20" s="3">
        <v>352.92970000000003</v>
      </c>
      <c r="G20" s="3">
        <v>209.73699999999999</v>
      </c>
      <c r="H20" s="3">
        <v>289.64519999999999</v>
      </c>
      <c r="I20" s="3">
        <v>24.339210000000001</v>
      </c>
      <c r="J20" s="3">
        <v>72.219840000000005</v>
      </c>
      <c r="K20" s="3">
        <v>290.14330000000001</v>
      </c>
    </row>
    <row r="21" spans="1:11">
      <c r="A21" s="6">
        <v>44621</v>
      </c>
      <c r="B21" s="3">
        <v>171.40629999999999</v>
      </c>
      <c r="C21" s="3">
        <v>162.9975</v>
      </c>
      <c r="D21" s="3">
        <v>58.440179999999998</v>
      </c>
      <c r="E21" s="3">
        <v>138.11490000000001</v>
      </c>
      <c r="F21" s="3">
        <v>349.56490000000002</v>
      </c>
      <c r="G21" s="3">
        <v>220.99760000000001</v>
      </c>
      <c r="H21" s="3">
        <v>299.49180000000001</v>
      </c>
      <c r="I21" s="3">
        <v>27.234760000000001</v>
      </c>
      <c r="J21" s="3">
        <v>78.646159999999995</v>
      </c>
      <c r="K21" s="3">
        <v>359.2</v>
      </c>
    </row>
    <row r="22" spans="1:11">
      <c r="A22" s="6">
        <v>44652</v>
      </c>
      <c r="B22" s="3">
        <v>154.75739999999999</v>
      </c>
      <c r="C22" s="3">
        <v>124.28149999999999</v>
      </c>
      <c r="D22" s="3">
        <v>51.800490000000003</v>
      </c>
      <c r="E22" s="3">
        <v>113.3279</v>
      </c>
      <c r="F22" s="3">
        <v>355.43369999999999</v>
      </c>
      <c r="G22" s="3">
        <v>199.24170000000001</v>
      </c>
      <c r="H22" s="3">
        <v>269.58249999999998</v>
      </c>
      <c r="I22" s="3">
        <v>18.515329999999999</v>
      </c>
      <c r="J22" s="3">
        <v>69.776730000000001</v>
      </c>
      <c r="K22" s="3">
        <v>290.25330000000002</v>
      </c>
    </row>
    <row r="23" spans="1:11">
      <c r="A23" s="6">
        <v>44682</v>
      </c>
      <c r="B23" s="3">
        <v>146.10910000000001</v>
      </c>
      <c r="C23" s="3">
        <v>120.20950000000001</v>
      </c>
      <c r="D23" s="3">
        <v>54.205570000000002</v>
      </c>
      <c r="E23" s="3">
        <v>112.9828</v>
      </c>
      <c r="F23" s="3">
        <v>350.5301</v>
      </c>
      <c r="G23" s="3">
        <v>192.45359999999999</v>
      </c>
      <c r="H23" s="3">
        <v>264.09410000000003</v>
      </c>
      <c r="I23" s="3">
        <v>18.64012</v>
      </c>
      <c r="J23" s="3">
        <v>68.637240000000006</v>
      </c>
      <c r="K23" s="3">
        <v>252.7533</v>
      </c>
    </row>
    <row r="24" spans="1:11">
      <c r="A24" s="6">
        <v>44713</v>
      </c>
      <c r="B24" s="3">
        <v>134.40870000000001</v>
      </c>
      <c r="C24" s="3">
        <v>106.21</v>
      </c>
      <c r="D24" s="3">
        <v>45.392589999999998</v>
      </c>
      <c r="E24" s="3">
        <v>108.2166</v>
      </c>
      <c r="F24" s="3">
        <v>309.00940000000003</v>
      </c>
      <c r="G24" s="3">
        <v>160.262</v>
      </c>
      <c r="H24" s="3">
        <v>250.06530000000001</v>
      </c>
      <c r="I24" s="3">
        <v>15.13311</v>
      </c>
      <c r="J24" s="3">
        <v>66.680819999999997</v>
      </c>
      <c r="K24" s="3">
        <v>224.47329999999999</v>
      </c>
    </row>
    <row r="25" spans="1:11">
      <c r="A25" s="6">
        <v>44743</v>
      </c>
      <c r="B25" s="3">
        <v>159.7627</v>
      </c>
      <c r="C25" s="3">
        <v>134.94999999999999</v>
      </c>
      <c r="D25" s="3">
        <v>50.448399999999999</v>
      </c>
      <c r="E25" s="3">
        <v>115.5232</v>
      </c>
      <c r="F25" s="3">
        <v>346.53379999999999</v>
      </c>
      <c r="G25" s="3">
        <v>158.12520000000001</v>
      </c>
      <c r="H25" s="3">
        <v>273.34559999999999</v>
      </c>
      <c r="I25" s="3">
        <v>18.135819999999999</v>
      </c>
      <c r="J25" s="3">
        <v>74.287009999999995</v>
      </c>
      <c r="K25" s="3">
        <v>297.14999999999998</v>
      </c>
    </row>
    <row r="26" spans="1:11">
      <c r="A26" s="6">
        <v>44774</v>
      </c>
      <c r="B26" s="3">
        <v>154.56209999999999</v>
      </c>
      <c r="C26" s="3">
        <v>126.77</v>
      </c>
      <c r="D26" s="3">
        <v>47.021929999999998</v>
      </c>
      <c r="E26" s="3">
        <v>107.4787</v>
      </c>
      <c r="F26" s="3">
        <v>318.20400000000001</v>
      </c>
      <c r="G26" s="3">
        <v>161.93170000000001</v>
      </c>
      <c r="H26" s="3">
        <v>254.5831</v>
      </c>
      <c r="I26" s="3">
        <v>15.07141</v>
      </c>
      <c r="J26" s="3">
        <v>71.081950000000006</v>
      </c>
      <c r="K26" s="3">
        <v>275.61</v>
      </c>
    </row>
    <row r="27" spans="1:11">
      <c r="A27" s="6">
        <v>44805</v>
      </c>
      <c r="B27" s="3">
        <v>136.05240000000001</v>
      </c>
      <c r="C27" s="3">
        <v>113</v>
      </c>
      <c r="D27" s="3">
        <v>41.830880000000001</v>
      </c>
      <c r="E27" s="3">
        <v>94.994810000000001</v>
      </c>
      <c r="F27" s="3">
        <v>278.935</v>
      </c>
      <c r="G27" s="3">
        <v>134.84870000000001</v>
      </c>
      <c r="H27" s="3">
        <v>227.24700000000001</v>
      </c>
      <c r="I27" s="3">
        <v>12.12083</v>
      </c>
      <c r="J27" s="3">
        <v>58.543149999999997</v>
      </c>
      <c r="K27" s="3">
        <v>265.25</v>
      </c>
    </row>
    <row r="28" spans="1:11">
      <c r="A28" s="6">
        <v>44835</v>
      </c>
      <c r="B28" s="3">
        <v>150.95699999999999</v>
      </c>
      <c r="C28" s="3">
        <v>102.44</v>
      </c>
      <c r="D28" s="3">
        <v>44.662120000000002</v>
      </c>
      <c r="E28" s="3">
        <v>93.862629999999996</v>
      </c>
      <c r="F28" s="3">
        <v>321.94159999999999</v>
      </c>
      <c r="G28" s="3">
        <v>92.589219999999997</v>
      </c>
      <c r="H28" s="3">
        <v>226.4956</v>
      </c>
      <c r="I28" s="3">
        <v>13.4808</v>
      </c>
      <c r="J28" s="3">
        <v>74.839749999999995</v>
      </c>
      <c r="K28" s="3">
        <v>227.54</v>
      </c>
    </row>
    <row r="29" spans="1:11">
      <c r="A29" s="6">
        <v>44866</v>
      </c>
      <c r="B29" s="3">
        <v>145.7296</v>
      </c>
      <c r="C29" s="3">
        <v>96.54</v>
      </c>
      <c r="D29" s="3">
        <v>52.348689999999998</v>
      </c>
      <c r="E29" s="3">
        <v>100.29819999999999</v>
      </c>
      <c r="F29" s="3">
        <v>350.1893</v>
      </c>
      <c r="G29" s="3">
        <v>117.3764</v>
      </c>
      <c r="H29" s="3">
        <v>248.94710000000001</v>
      </c>
      <c r="I29" s="3">
        <v>16.90269</v>
      </c>
      <c r="J29" s="3">
        <v>80.003680000000003</v>
      </c>
      <c r="K29" s="3">
        <v>194.7</v>
      </c>
    </row>
    <row r="30" spans="1:11">
      <c r="A30" s="6">
        <v>44896</v>
      </c>
      <c r="B30" s="3">
        <v>128.12299999999999</v>
      </c>
      <c r="C30" s="3">
        <v>84</v>
      </c>
      <c r="D30" s="3">
        <v>53.118200000000002</v>
      </c>
      <c r="E30" s="3">
        <v>87.625640000000004</v>
      </c>
      <c r="F30" s="3">
        <v>341.67039999999997</v>
      </c>
      <c r="G30" s="3">
        <v>119.6027</v>
      </c>
      <c r="H30" s="3">
        <v>234.6584</v>
      </c>
      <c r="I30" s="3">
        <v>14.600199999999999</v>
      </c>
      <c r="J30" s="3">
        <v>78.7607</v>
      </c>
      <c r="K30" s="3">
        <v>123.18</v>
      </c>
    </row>
    <row r="31" spans="1:11">
      <c r="A31" s="6">
        <v>44927</v>
      </c>
      <c r="B31" s="3">
        <v>142.2833</v>
      </c>
      <c r="C31" s="3">
        <v>103.13</v>
      </c>
      <c r="D31" s="3">
        <v>56.040570000000002</v>
      </c>
      <c r="E31" s="3">
        <v>98.162949999999995</v>
      </c>
      <c r="F31" s="3">
        <v>364.14179999999999</v>
      </c>
      <c r="G31" s="3">
        <v>148.05719999999999</v>
      </c>
      <c r="H31" s="3">
        <v>242.47640000000001</v>
      </c>
      <c r="I31" s="3">
        <v>19.518550000000001</v>
      </c>
      <c r="J31" s="3">
        <v>85.235759999999999</v>
      </c>
      <c r="K31" s="3">
        <v>173.22</v>
      </c>
    </row>
    <row r="32" spans="1:11">
      <c r="A32" s="6">
        <v>44958</v>
      </c>
      <c r="B32" s="3">
        <v>145.36000000000001</v>
      </c>
      <c r="C32" s="3">
        <v>94.23</v>
      </c>
      <c r="D32" s="3">
        <v>56.929540000000003</v>
      </c>
      <c r="E32" s="3">
        <v>89.443110000000004</v>
      </c>
      <c r="F32" s="3">
        <v>349.66520000000003</v>
      </c>
      <c r="G32" s="3">
        <v>173.8681</v>
      </c>
      <c r="H32" s="3">
        <v>244.05179999999999</v>
      </c>
      <c r="I32" s="3">
        <v>23.19407</v>
      </c>
      <c r="J32" s="3">
        <v>84.530169999999998</v>
      </c>
      <c r="K32" s="3">
        <v>205.71</v>
      </c>
    </row>
    <row r="33" spans="1:11">
      <c r="A33" s="6">
        <v>44986</v>
      </c>
      <c r="B33" s="3">
        <v>162.85499999999999</v>
      </c>
      <c r="C33" s="3">
        <v>103.29</v>
      </c>
      <c r="D33" s="3">
        <v>61.45581</v>
      </c>
      <c r="E33" s="3">
        <v>103.01949999999999</v>
      </c>
      <c r="F33" s="3">
        <v>357.65660000000003</v>
      </c>
      <c r="G33" s="3">
        <v>210.6414</v>
      </c>
      <c r="H33" s="3">
        <v>282.80149999999998</v>
      </c>
      <c r="I33" s="3">
        <v>27.750769999999999</v>
      </c>
      <c r="J33" s="3">
        <v>89.868930000000006</v>
      </c>
      <c r="K33" s="3">
        <v>207.46</v>
      </c>
    </row>
    <row r="34" spans="1:11">
      <c r="A34" s="6">
        <v>45017</v>
      </c>
      <c r="B34" s="3">
        <v>167.57570000000001</v>
      </c>
      <c r="C34" s="3">
        <v>105.45</v>
      </c>
      <c r="D34" s="3">
        <v>60.447029999999998</v>
      </c>
      <c r="E34" s="3">
        <v>106.60469999999999</v>
      </c>
      <c r="F34" s="3">
        <v>374.0136</v>
      </c>
      <c r="G34" s="3">
        <v>238.8476</v>
      </c>
      <c r="H34" s="3">
        <v>301.39999999999998</v>
      </c>
      <c r="I34" s="3">
        <v>27.727499999999999</v>
      </c>
      <c r="J34" s="3">
        <v>91.609819999999999</v>
      </c>
      <c r="K34" s="3">
        <v>164.31</v>
      </c>
    </row>
    <row r="35" spans="1:11">
      <c r="A35" s="6">
        <v>45047</v>
      </c>
      <c r="B35" s="3">
        <v>175.05179999999999</v>
      </c>
      <c r="C35" s="3">
        <v>120.58</v>
      </c>
      <c r="D35" s="3">
        <v>77.954949999999997</v>
      </c>
      <c r="E35" s="3">
        <v>122.0284</v>
      </c>
      <c r="F35" s="3">
        <v>359.80470000000003</v>
      </c>
      <c r="G35" s="3">
        <v>263.09809999999999</v>
      </c>
      <c r="H35" s="3">
        <v>322.12700000000001</v>
      </c>
      <c r="I35" s="3">
        <v>37.804690000000001</v>
      </c>
      <c r="J35" s="3">
        <v>102.8905</v>
      </c>
      <c r="K35" s="3">
        <v>203.93</v>
      </c>
    </row>
    <row r="36" spans="1:11">
      <c r="A36" s="6">
        <v>45078</v>
      </c>
      <c r="B36" s="3">
        <v>191.8295</v>
      </c>
      <c r="C36" s="3">
        <v>130.36000000000001</v>
      </c>
      <c r="D36" s="3">
        <v>83.692840000000004</v>
      </c>
      <c r="E36" s="3">
        <v>118.8801</v>
      </c>
      <c r="F36" s="3">
        <v>387.6807</v>
      </c>
      <c r="G36" s="3">
        <v>285.2217</v>
      </c>
      <c r="H36" s="3">
        <v>334.77550000000002</v>
      </c>
      <c r="I36" s="3">
        <v>42.269219999999997</v>
      </c>
      <c r="J36" s="3">
        <v>115.6619</v>
      </c>
      <c r="K36" s="3">
        <v>261.77</v>
      </c>
    </row>
    <row r="37" spans="1:11">
      <c r="A37" s="6">
        <v>45108</v>
      </c>
      <c r="B37" s="3">
        <v>194.28210000000001</v>
      </c>
      <c r="C37" s="3">
        <v>133.68</v>
      </c>
      <c r="D37" s="3">
        <v>87.166989999999998</v>
      </c>
      <c r="E37" s="3">
        <v>131.8109</v>
      </c>
      <c r="F37" s="3">
        <v>388.64670000000001</v>
      </c>
      <c r="G37" s="3">
        <v>316.64800000000002</v>
      </c>
      <c r="H37" s="3">
        <v>330.2337</v>
      </c>
      <c r="I37" s="3">
        <v>46.697629999999997</v>
      </c>
      <c r="J37" s="3">
        <v>113.85550000000001</v>
      </c>
      <c r="K37" s="3">
        <v>267.43</v>
      </c>
    </row>
    <row r="38" spans="1:11">
      <c r="A38" s="6">
        <v>45139</v>
      </c>
      <c r="B38" s="3">
        <v>185.79679999999999</v>
      </c>
      <c r="C38" s="3">
        <v>138.01</v>
      </c>
      <c r="D38" s="3">
        <v>89.518209999999996</v>
      </c>
      <c r="E38" s="3">
        <v>135.2373</v>
      </c>
      <c r="F38" s="3">
        <v>407.33260000000001</v>
      </c>
      <c r="G38" s="3">
        <v>294.07709999999997</v>
      </c>
      <c r="H38" s="3">
        <v>322.21179999999998</v>
      </c>
      <c r="I38" s="3">
        <v>49.321869999999997</v>
      </c>
      <c r="J38" s="3">
        <v>117.3349</v>
      </c>
      <c r="K38" s="3">
        <v>258.08</v>
      </c>
    </row>
    <row r="39" spans="1:11">
      <c r="A39" s="6">
        <v>45170</v>
      </c>
      <c r="B39" s="3">
        <v>169.54929999999999</v>
      </c>
      <c r="C39" s="3">
        <v>127.12</v>
      </c>
      <c r="D39" s="3">
        <v>80.564350000000005</v>
      </c>
      <c r="E39" s="3">
        <v>129.96360000000001</v>
      </c>
      <c r="F39" s="3">
        <v>390.81779999999998</v>
      </c>
      <c r="G39" s="3">
        <v>298.3707</v>
      </c>
      <c r="H39" s="3">
        <v>311.06229999999999</v>
      </c>
      <c r="I39" s="3">
        <v>43.469799999999999</v>
      </c>
      <c r="J39" s="3">
        <v>103.2321</v>
      </c>
      <c r="K39" s="3">
        <v>250.22</v>
      </c>
    </row>
    <row r="40" spans="1:11">
      <c r="A40" s="6">
        <v>45200</v>
      </c>
      <c r="B40" s="3">
        <v>169.11359999999999</v>
      </c>
      <c r="C40" s="3">
        <v>133.09</v>
      </c>
      <c r="D40" s="3">
        <v>82.055440000000004</v>
      </c>
      <c r="E40" s="3">
        <v>123.23009999999999</v>
      </c>
      <c r="F40" s="3">
        <v>371.5093</v>
      </c>
      <c r="G40" s="3">
        <v>299.42410000000001</v>
      </c>
      <c r="H40" s="3">
        <v>333.09030000000001</v>
      </c>
      <c r="I40" s="3">
        <v>40.755980000000001</v>
      </c>
      <c r="J40" s="3">
        <v>100.776</v>
      </c>
      <c r="K40" s="3">
        <v>200.84</v>
      </c>
    </row>
    <row r="41" spans="1:11">
      <c r="A41" s="6">
        <v>45231</v>
      </c>
      <c r="B41" s="3">
        <v>188.10749999999999</v>
      </c>
      <c r="C41" s="3">
        <v>146.09</v>
      </c>
      <c r="D41" s="3">
        <v>90.282740000000004</v>
      </c>
      <c r="E41" s="3">
        <v>131.62219999999999</v>
      </c>
      <c r="F41" s="3">
        <v>409.09949999999998</v>
      </c>
      <c r="G41" s="3">
        <v>325.1456</v>
      </c>
      <c r="H41" s="3">
        <v>373.28460000000001</v>
      </c>
      <c r="I41" s="3">
        <v>46.742449999999998</v>
      </c>
      <c r="J41" s="3">
        <v>113.6754</v>
      </c>
      <c r="K41" s="3">
        <v>240.08</v>
      </c>
    </row>
    <row r="42" spans="1:11">
      <c r="A42" s="6">
        <v>45261</v>
      </c>
      <c r="B42" s="3">
        <v>190.91370000000001</v>
      </c>
      <c r="C42" s="3">
        <v>151.94</v>
      </c>
      <c r="D42" s="3">
        <v>108.8634</v>
      </c>
      <c r="E42" s="3">
        <v>138.73320000000001</v>
      </c>
      <c r="F42" s="3">
        <v>421.6345</v>
      </c>
      <c r="G42" s="3">
        <v>351.79129999999998</v>
      </c>
      <c r="H42" s="3">
        <v>371.20909999999998</v>
      </c>
      <c r="I42" s="3">
        <v>49.492829999999998</v>
      </c>
      <c r="J42" s="3">
        <v>103.1305</v>
      </c>
      <c r="K42" s="3">
        <v>248.48</v>
      </c>
    </row>
    <row r="43" spans="1:11">
      <c r="A43" s="6">
        <v>45292</v>
      </c>
      <c r="B43" s="3">
        <v>182.8519</v>
      </c>
      <c r="C43" s="3">
        <v>155.19999999999999</v>
      </c>
      <c r="D43" s="3">
        <v>115.60980000000001</v>
      </c>
      <c r="E43" s="3">
        <v>139.1403</v>
      </c>
      <c r="F43" s="3">
        <v>444.09480000000002</v>
      </c>
      <c r="G43" s="3">
        <v>387.74959999999999</v>
      </c>
      <c r="H43" s="3">
        <v>392.47239999999999</v>
      </c>
      <c r="I43" s="3">
        <v>61.496169999999999</v>
      </c>
      <c r="J43" s="3">
        <v>109.2638</v>
      </c>
      <c r="K43" s="3">
        <v>187.29</v>
      </c>
    </row>
    <row r="44" spans="1:11">
      <c r="A44" s="6">
        <v>45323</v>
      </c>
      <c r="B44" s="3">
        <v>179.23249999999999</v>
      </c>
      <c r="C44" s="3">
        <v>176.76</v>
      </c>
      <c r="D44" s="3">
        <v>127.4148</v>
      </c>
      <c r="E44" s="3">
        <v>137.51159999999999</v>
      </c>
      <c r="F44" s="3">
        <v>470.07279999999997</v>
      </c>
      <c r="G44" s="3">
        <v>487.12700000000001</v>
      </c>
      <c r="H44" s="3">
        <v>408.3261</v>
      </c>
      <c r="I44" s="3">
        <v>79.072360000000003</v>
      </c>
      <c r="J44" s="3">
        <v>109.6675</v>
      </c>
      <c r="K44" s="3">
        <v>201.88</v>
      </c>
    </row>
    <row r="45" spans="1:11">
      <c r="A45" s="6">
        <v>45352</v>
      </c>
      <c r="B45" s="3">
        <v>170.25739999999999</v>
      </c>
      <c r="C45" s="3">
        <v>180.38</v>
      </c>
      <c r="D45" s="3">
        <v>129.8563</v>
      </c>
      <c r="E45" s="3">
        <v>149.89609999999999</v>
      </c>
      <c r="F45" s="3">
        <v>476.81540000000001</v>
      </c>
      <c r="G45" s="3">
        <v>483.11689999999999</v>
      </c>
      <c r="H45" s="3">
        <v>416.08319999999998</v>
      </c>
      <c r="I45" s="3">
        <v>90.310730000000007</v>
      </c>
      <c r="J45" s="3">
        <v>123.34650000000001</v>
      </c>
      <c r="K45" s="3">
        <v>175.79</v>
      </c>
    </row>
    <row r="46" spans="1:11">
      <c r="A46" s="6">
        <v>45383</v>
      </c>
      <c r="B46" s="3">
        <v>169.1156</v>
      </c>
      <c r="C46" s="3">
        <v>175</v>
      </c>
      <c r="D46" s="3">
        <v>127.9358</v>
      </c>
      <c r="E46" s="3">
        <v>161.66499999999999</v>
      </c>
      <c r="F46" s="3">
        <v>446.74529999999999</v>
      </c>
      <c r="G46" s="3">
        <v>427.988</v>
      </c>
      <c r="H46" s="3">
        <v>385.03910000000002</v>
      </c>
      <c r="I46" s="3">
        <v>86.362750000000005</v>
      </c>
      <c r="J46" s="3">
        <v>111.7002</v>
      </c>
      <c r="K46" s="3">
        <v>183.28</v>
      </c>
    </row>
    <row r="47" spans="1:11">
      <c r="A47" s="6">
        <v>45413</v>
      </c>
      <c r="B47" s="3">
        <v>190.8793</v>
      </c>
      <c r="C47" s="3">
        <v>176.44</v>
      </c>
      <c r="D47" s="3">
        <v>130.7183</v>
      </c>
      <c r="E47" s="3">
        <v>171.3184</v>
      </c>
      <c r="F47" s="3">
        <v>443.26920000000001</v>
      </c>
      <c r="G47" s="3">
        <v>464.46199999999999</v>
      </c>
      <c r="H47" s="3">
        <v>410.5548</v>
      </c>
      <c r="I47" s="3">
        <v>109.58320000000001</v>
      </c>
      <c r="J47" s="3">
        <v>115.4496</v>
      </c>
      <c r="K47" s="3">
        <v>178.08</v>
      </c>
    </row>
    <row r="48" spans="1:11">
      <c r="A48" s="6">
        <v>45444</v>
      </c>
      <c r="B48" s="3">
        <v>209.40190000000001</v>
      </c>
      <c r="C48" s="3">
        <v>193.25</v>
      </c>
      <c r="D48" s="3">
        <v>157.9708</v>
      </c>
      <c r="E48" s="3">
        <v>180.9023</v>
      </c>
      <c r="F48" s="3">
        <v>437.40949999999998</v>
      </c>
      <c r="G48" s="3">
        <v>501.66239999999999</v>
      </c>
      <c r="H48" s="3">
        <v>442.82139999999998</v>
      </c>
      <c r="I48" s="3">
        <v>123.48390000000001</v>
      </c>
      <c r="J48" s="3">
        <v>139.10300000000001</v>
      </c>
      <c r="K48" s="3">
        <v>197.88</v>
      </c>
    </row>
    <row r="49" spans="1:11">
      <c r="A49" s="6">
        <v>45474</v>
      </c>
      <c r="B49" s="3">
        <v>220.79570000000001</v>
      </c>
      <c r="C49" s="3">
        <v>186.98</v>
      </c>
      <c r="D49" s="3">
        <v>158.59780000000001</v>
      </c>
      <c r="E49" s="3">
        <v>170.56049999999999</v>
      </c>
      <c r="F49" s="3">
        <v>459.76769999999999</v>
      </c>
      <c r="G49" s="3">
        <v>472.89049999999997</v>
      </c>
      <c r="H49" s="3">
        <v>414.48559999999998</v>
      </c>
      <c r="I49" s="3">
        <v>116.9764</v>
      </c>
      <c r="J49" s="3">
        <v>137.37899999999999</v>
      </c>
      <c r="K49" s="3">
        <v>232.07</v>
      </c>
    </row>
    <row r="50" spans="1:11">
      <c r="A50" s="6">
        <v>45505</v>
      </c>
      <c r="B50" s="3">
        <v>227.6756</v>
      </c>
      <c r="C50" s="3">
        <v>178.5</v>
      </c>
      <c r="D50" s="3">
        <v>160.71</v>
      </c>
      <c r="E50" s="3">
        <v>162.44710000000001</v>
      </c>
      <c r="F50" s="3">
        <v>479.94069999999999</v>
      </c>
      <c r="G50" s="3">
        <v>519.18060000000003</v>
      </c>
      <c r="H50" s="3">
        <v>413.2867</v>
      </c>
      <c r="I50" s="3">
        <v>119.32559999999999</v>
      </c>
      <c r="J50" s="3">
        <v>139.58459999999999</v>
      </c>
      <c r="K50" s="3">
        <v>214.11</v>
      </c>
    </row>
    <row r="51" spans="1:11">
      <c r="A51" s="6">
        <v>45536</v>
      </c>
      <c r="B51" s="3">
        <v>231.92060000000001</v>
      </c>
      <c r="C51" s="3">
        <v>186.33</v>
      </c>
      <c r="D51" s="3">
        <v>170.2646</v>
      </c>
      <c r="E51" s="3">
        <v>164.90299999999999</v>
      </c>
      <c r="F51" s="3">
        <v>490.32709999999997</v>
      </c>
      <c r="G51" s="3">
        <v>570.10180000000003</v>
      </c>
      <c r="H51" s="3">
        <v>427.09359999999998</v>
      </c>
      <c r="I51" s="3">
        <v>121.3948</v>
      </c>
      <c r="J51" s="3">
        <v>168.3433</v>
      </c>
      <c r="K51" s="3">
        <v>261.63</v>
      </c>
    </row>
    <row r="52" spans="1:11">
      <c r="A52" s="6">
        <v>45566</v>
      </c>
      <c r="B52" s="3">
        <v>224.86349999999999</v>
      </c>
      <c r="C52" s="3">
        <v>186.4</v>
      </c>
      <c r="D52" s="3">
        <v>168.12110000000001</v>
      </c>
      <c r="E52" s="3">
        <v>170.3587</v>
      </c>
      <c r="F52" s="3">
        <v>496.07639999999998</v>
      </c>
      <c r="G52" s="3">
        <v>565.80100000000004</v>
      </c>
      <c r="H52" s="3">
        <v>403.32209999999998</v>
      </c>
      <c r="I52" s="3">
        <v>132.72200000000001</v>
      </c>
      <c r="J52" s="3">
        <v>165.8142</v>
      </c>
      <c r="K52" s="3">
        <v>249.85</v>
      </c>
    </row>
    <row r="53" spans="1:11">
      <c r="A53" s="6">
        <v>45597</v>
      </c>
      <c r="B53" s="3">
        <v>236.23060000000001</v>
      </c>
      <c r="C53" s="3">
        <v>207.89</v>
      </c>
      <c r="D53" s="3">
        <v>160.50579999999999</v>
      </c>
      <c r="E53" s="3">
        <v>168.20820000000001</v>
      </c>
      <c r="F53" s="3">
        <v>529.8954</v>
      </c>
      <c r="G53" s="3">
        <v>572.51980000000003</v>
      </c>
      <c r="H53" s="3">
        <v>420.30459999999999</v>
      </c>
      <c r="I53" s="3">
        <v>138.21039999999999</v>
      </c>
      <c r="J53" s="3">
        <v>183.0196</v>
      </c>
      <c r="K53" s="3">
        <v>345.16</v>
      </c>
    </row>
    <row r="54" spans="1:11">
      <c r="A54" s="6">
        <v>45627</v>
      </c>
      <c r="B54" s="3">
        <v>249.5342</v>
      </c>
      <c r="C54" s="3">
        <v>219.39</v>
      </c>
      <c r="D54" s="3">
        <v>229.5883</v>
      </c>
      <c r="E54" s="3">
        <v>188.46889999999999</v>
      </c>
      <c r="F54" s="3">
        <v>523.56179999999995</v>
      </c>
      <c r="G54" s="3">
        <v>583.67470000000003</v>
      </c>
      <c r="H54" s="3">
        <v>419.19659999999999</v>
      </c>
      <c r="I54" s="3">
        <v>134.25149999999999</v>
      </c>
      <c r="J54" s="3">
        <v>164.99889999999999</v>
      </c>
      <c r="K54" s="3">
        <v>403.84</v>
      </c>
    </row>
    <row r="55" spans="1:11">
      <c r="A55" s="6">
        <v>45658</v>
      </c>
      <c r="B55" s="3">
        <v>235.1652</v>
      </c>
      <c r="C55" s="3">
        <v>237.68</v>
      </c>
      <c r="D55" s="3">
        <v>219.708</v>
      </c>
      <c r="E55" s="3">
        <v>203.357</v>
      </c>
      <c r="F55" s="3">
        <v>552.25710000000004</v>
      </c>
      <c r="G55" s="3">
        <v>687.57389999999998</v>
      </c>
      <c r="H55" s="3">
        <v>412.79169999999999</v>
      </c>
      <c r="I55" s="3">
        <v>120.04389999999999</v>
      </c>
      <c r="J55" s="3">
        <v>168.3852</v>
      </c>
      <c r="K55" s="3">
        <v>404.6</v>
      </c>
    </row>
    <row r="56" spans="1:11">
      <c r="A56" s="6">
        <v>45689</v>
      </c>
      <c r="B56" s="3">
        <v>240.9845</v>
      </c>
      <c r="C56" s="3">
        <v>212.28</v>
      </c>
      <c r="D56" s="3">
        <v>198.0222</v>
      </c>
      <c r="E56" s="3">
        <v>169.72669999999999</v>
      </c>
      <c r="F56" s="3">
        <v>573.86220000000003</v>
      </c>
      <c r="G56" s="3">
        <v>666.64290000000005</v>
      </c>
      <c r="H56" s="3">
        <v>394.82049999999998</v>
      </c>
      <c r="I56" s="3">
        <v>124.89279999999999</v>
      </c>
      <c r="J56" s="3">
        <v>164.8287</v>
      </c>
      <c r="K56" s="3">
        <v>292.98</v>
      </c>
    </row>
    <row r="57" spans="1:11">
      <c r="A57" s="6">
        <v>45717</v>
      </c>
      <c r="B57" s="3">
        <v>221.58760000000001</v>
      </c>
      <c r="C57" s="3">
        <v>190.26</v>
      </c>
      <c r="D57" s="3">
        <v>166.24809999999999</v>
      </c>
      <c r="E57" s="3">
        <v>154.13749999999999</v>
      </c>
      <c r="F57" s="3">
        <v>545.79190000000006</v>
      </c>
      <c r="G57" s="3">
        <v>575.01679999999999</v>
      </c>
      <c r="H57" s="3">
        <v>374.0872</v>
      </c>
      <c r="I57" s="3">
        <v>108.35639999999999</v>
      </c>
      <c r="J57" s="3">
        <v>138.77340000000001</v>
      </c>
      <c r="K57" s="3">
        <v>259.16000000000003</v>
      </c>
    </row>
    <row r="58" spans="1:11">
      <c r="A58" s="6">
        <v>45748</v>
      </c>
      <c r="B58" s="3">
        <v>211.9811</v>
      </c>
      <c r="C58" s="3">
        <v>184.42</v>
      </c>
      <c r="D58" s="3">
        <v>191.68960000000001</v>
      </c>
      <c r="E58" s="3">
        <v>158.46629999999999</v>
      </c>
      <c r="F58" s="3">
        <v>545.73230000000001</v>
      </c>
      <c r="G58" s="3">
        <v>548.2079</v>
      </c>
      <c r="H58" s="3">
        <v>393.88819999999998</v>
      </c>
      <c r="I58" s="3">
        <v>108.9063</v>
      </c>
      <c r="J58" s="3">
        <v>139.67660000000001</v>
      </c>
      <c r="K58" s="3">
        <v>282.16000000000003</v>
      </c>
    </row>
    <row r="59" spans="1:11">
      <c r="A59" s="6">
        <v>45778</v>
      </c>
      <c r="B59" s="3">
        <v>200.3596</v>
      </c>
      <c r="C59" s="3">
        <v>205.01</v>
      </c>
      <c r="D59" s="3">
        <v>241.08850000000001</v>
      </c>
      <c r="E59" s="3">
        <v>171.37909999999999</v>
      </c>
      <c r="F59" s="3">
        <v>584.03769999999997</v>
      </c>
      <c r="G59" s="3">
        <v>646.55579999999998</v>
      </c>
      <c r="H59" s="3">
        <v>458.76220000000001</v>
      </c>
      <c r="I59" s="3">
        <v>135.113</v>
      </c>
      <c r="J59" s="3">
        <v>164.8929</v>
      </c>
      <c r="K59" s="3">
        <v>346.46</v>
      </c>
    </row>
    <row r="60" spans="1:11">
      <c r="A60" s="6">
        <v>45809</v>
      </c>
      <c r="B60" s="3">
        <v>204.9374</v>
      </c>
      <c r="C60" s="3">
        <v>219.39</v>
      </c>
      <c r="D60" s="3">
        <v>274.53230000000002</v>
      </c>
      <c r="E60" s="3">
        <v>175.8596</v>
      </c>
      <c r="F60" s="3">
        <v>560.44079999999997</v>
      </c>
      <c r="G60" s="3">
        <v>737.02509999999995</v>
      </c>
      <c r="H60" s="3">
        <v>496.59370000000001</v>
      </c>
      <c r="I60" s="3">
        <v>157.9701</v>
      </c>
      <c r="J60" s="3">
        <v>217.7885</v>
      </c>
      <c r="K60" s="3">
        <v>317.66000000000003</v>
      </c>
    </row>
    <row r="61" spans="1:11">
      <c r="A61" s="6">
        <v>45839</v>
      </c>
      <c r="B61" s="3">
        <v>207.3347</v>
      </c>
      <c r="C61" s="3">
        <v>234.11</v>
      </c>
      <c r="D61" s="3">
        <v>293.1977</v>
      </c>
      <c r="E61" s="3">
        <v>191.7285</v>
      </c>
      <c r="F61" s="3">
        <v>564.95870000000002</v>
      </c>
      <c r="G61" s="3">
        <v>772.91830000000004</v>
      </c>
      <c r="H61" s="3">
        <v>532.62440000000004</v>
      </c>
      <c r="I61" s="3">
        <v>177.86</v>
      </c>
      <c r="J61" s="3">
        <v>252.79320000000001</v>
      </c>
      <c r="K61" s="3">
        <v>308.27</v>
      </c>
    </row>
    <row r="62" spans="1:11">
      <c r="A62" s="6">
        <v>45870</v>
      </c>
      <c r="B62" s="3">
        <v>231.8768</v>
      </c>
      <c r="C62" s="3">
        <v>229</v>
      </c>
      <c r="D62" s="3">
        <v>296.88130000000001</v>
      </c>
      <c r="E62" s="3">
        <v>212.71969999999999</v>
      </c>
      <c r="F62" s="3">
        <v>594.50509999999997</v>
      </c>
      <c r="G62" s="3">
        <v>738.20180000000005</v>
      </c>
      <c r="H62" s="3">
        <v>505.85840000000002</v>
      </c>
      <c r="I62" s="3">
        <v>174.17019999999999</v>
      </c>
      <c r="J62" s="3">
        <v>225.73830000000001</v>
      </c>
      <c r="K62" s="3">
        <v>333.87</v>
      </c>
    </row>
    <row r="63" spans="1:11">
      <c r="A63" s="6">
        <v>45901</v>
      </c>
      <c r="B63" s="3">
        <v>254.63</v>
      </c>
      <c r="C63" s="3">
        <v>219.57</v>
      </c>
      <c r="D63" s="3">
        <v>329.34570000000002</v>
      </c>
      <c r="E63" s="3">
        <v>242.8828</v>
      </c>
      <c r="F63" s="3">
        <v>568.06010000000003</v>
      </c>
      <c r="G63" s="3">
        <v>733.88469999999995</v>
      </c>
      <c r="H63" s="3">
        <v>517.95000000000005</v>
      </c>
      <c r="I63" s="3">
        <v>186.56950000000001</v>
      </c>
      <c r="J63" s="3">
        <v>280.75279999999998</v>
      </c>
      <c r="K63" s="3">
        <v>444.72</v>
      </c>
    </row>
    <row r="64" spans="1:11">
      <c r="A64" s="6">
        <v>45931</v>
      </c>
      <c r="B64" s="3">
        <v>247.45</v>
      </c>
      <c r="C64" s="3">
        <v>214.47</v>
      </c>
      <c r="D64" s="3">
        <v>354.15</v>
      </c>
      <c r="E64" s="3">
        <v>251.46</v>
      </c>
      <c r="F64" s="3">
        <v>549.88</v>
      </c>
      <c r="G64" s="3">
        <v>712.07</v>
      </c>
      <c r="H64" s="3">
        <v>511.61</v>
      </c>
      <c r="I64" s="3">
        <v>181.81</v>
      </c>
      <c r="J64" s="3">
        <v>313</v>
      </c>
      <c r="K64" s="3">
        <v>428.75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411D-B629-401C-A160-F34134310DB1}">
  <dimension ref="A1:N489"/>
  <sheetViews>
    <sheetView workbookViewId="0">
      <selection activeCell="B4" sqref="B4"/>
    </sheetView>
  </sheetViews>
  <sheetFormatPr defaultColWidth="8.7109375" defaultRowHeight="15"/>
  <cols>
    <col min="1" max="1" width="25.7109375" style="7" customWidth="1"/>
    <col min="2" max="2" width="13.28515625" customWidth="1"/>
    <col min="3" max="3" width="9.7109375" bestFit="1" customWidth="1"/>
    <col min="4" max="11" width="9.85546875" bestFit="1" customWidth="1"/>
  </cols>
  <sheetData>
    <row r="1" spans="1:14">
      <c r="B1" s="106" t="s">
        <v>11</v>
      </c>
      <c r="C1" s="107"/>
      <c r="D1" s="107"/>
      <c r="E1" s="107"/>
      <c r="F1" s="107"/>
      <c r="G1" s="107"/>
      <c r="H1" s="107"/>
      <c r="I1" s="107"/>
      <c r="J1" s="107"/>
      <c r="K1" s="108"/>
    </row>
    <row r="2" spans="1:14">
      <c r="A2" s="7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</row>
    <row r="3" spans="1:14">
      <c r="A3" s="8">
        <v>44075</v>
      </c>
      <c r="B3" s="4">
        <f>LN('Historical Data'!B4/'Historical Data'!B3)</f>
        <v>-6.1887453874919993E-2</v>
      </c>
      <c r="C3" s="4">
        <f>LN('Historical Data'!C4/'Historical Data'!C3)</f>
        <v>-3.640893151011803E-2</v>
      </c>
      <c r="D3" s="4">
        <f>LN('Historical Data'!D4/'Historical Data'!D3)</f>
        <v>-3.2081465850851081E-2</v>
      </c>
      <c r="E3" s="4">
        <f>LN('Historical Data'!E4/'Historical Data'!E3)</f>
        <v>9.7757422471977648E-2</v>
      </c>
      <c r="F3" s="4">
        <f>LN('Historical Data'!F4/'Historical Data'!F3)</f>
        <v>-0.15836842750215305</v>
      </c>
      <c r="G3" s="4">
        <f>LN('Historical Data'!G4/'Historical Data'!G3)</f>
        <v>4.6091129526474447E-3</v>
      </c>
      <c r="H3" s="4">
        <f>LN('Historical Data'!H4/'Historical Data'!H3)</f>
        <v>-3.8086154811212615E-2</v>
      </c>
      <c r="I3" s="4">
        <f>LN('Historical Data'!I4/'Historical Data'!I3)</f>
        <v>-7.6202872552745868E-2</v>
      </c>
      <c r="J3" s="4">
        <f>LN('Historical Data'!J4/'Historical Data'!J3)</f>
        <v>-6.2018299215212777E-2</v>
      </c>
      <c r="K3" s="4">
        <f>LN('Historical Data'!K4/'Historical Data'!K3)</f>
        <v>-0.100371310786385</v>
      </c>
      <c r="N3">
        <f>J3*12</f>
        <v>-0.74421959058255327</v>
      </c>
    </row>
    <row r="4" spans="1:14">
      <c r="A4" s="8">
        <v>44105</v>
      </c>
      <c r="B4" s="4">
        <f>LN('Historical Data'!B5/'Historical Data'!B4)</f>
        <v>8.9480935871332171E-2</v>
      </c>
      <c r="C4" s="4">
        <f>LN('Historical Data'!C5/'Historical Data'!C4)</f>
        <v>4.2522834707578269E-2</v>
      </c>
      <c r="D4" s="4">
        <f>LN('Historical Data'!D5/'Historical Data'!D4)</f>
        <v>0.13853124811317888</v>
      </c>
      <c r="E4" s="4">
        <f>LN('Historical Data'!E5/'Historical Data'!E4)</f>
        <v>8.2104808530992626E-2</v>
      </c>
      <c r="F4" s="4">
        <f>LN('Historical Data'!F5/'Historical Data'!F4)</f>
        <v>0.15461168356274446</v>
      </c>
      <c r="G4" s="4">
        <f>LN('Historical Data'!G5/'Historical Data'!G4)</f>
        <v>5.1337079631452377E-2</v>
      </c>
      <c r="H4" s="4">
        <f>LN('Historical Data'!H5/'Historical Data'!H4)</f>
        <v>5.5710967336991574E-2</v>
      </c>
      <c r="I4" s="4">
        <f>LN('Historical Data'!I5/'Historical Data'!I4)</f>
        <v>6.6922469687881028E-2</v>
      </c>
      <c r="J4" s="4">
        <f>LN('Historical Data'!J5/'Historical Data'!J4)</f>
        <v>3.2331157417114433E-2</v>
      </c>
      <c r="K4" s="4">
        <f>LN('Historical Data'!K5/'Historical Data'!K4)</f>
        <v>0.38030826048744676</v>
      </c>
    </row>
    <row r="5" spans="1:14">
      <c r="A5" s="8">
        <v>44136</v>
      </c>
      <c r="B5" s="4">
        <f>LN('Historical Data'!B6/'Historical Data'!B5)</f>
        <v>0.11019535320538647</v>
      </c>
      <c r="C5" s="4">
        <f>LN('Historical Data'!C6/'Historical Data'!C5)</f>
        <v>2.767193375733203E-2</v>
      </c>
      <c r="D5" s="4">
        <f>LN('Historical Data'!D6/'Historical Data'!D5)</f>
        <v>8.6469641104843731E-2</v>
      </c>
      <c r="E5" s="4">
        <f>LN('Historical Data'!E6/'Historical Data'!E5)</f>
        <v>-1.0034977409553211E-3</v>
      </c>
      <c r="F5" s="4">
        <f>LN('Historical Data'!F6/'Historical Data'!F5)</f>
        <v>5.8939717402266327E-2</v>
      </c>
      <c r="G5" s="4">
        <f>LN('Historical Data'!G6/'Historical Data'!G5)</f>
        <v>-1.3851286473141782E-2</v>
      </c>
      <c r="H5" s="4">
        <f>LN('Historical Data'!H6/'Historical Data'!H5)</f>
        <v>4.0879423675771034E-2</v>
      </c>
      <c r="I5" s="4">
        <f>LN('Historical Data'!I6/'Historical Data'!I5)</f>
        <v>-2.6195775346695586E-2</v>
      </c>
      <c r="J5" s="4">
        <f>LN('Historical Data'!J6/'Historical Data'!J5)</f>
        <v>0.11400258924071206</v>
      </c>
      <c r="K5" s="4">
        <f>LN('Historical Data'!K6/'Historical Data'!K5)</f>
        <v>0.21773061912596831</v>
      </c>
    </row>
    <row r="6" spans="1:14">
      <c r="A6" s="8">
        <v>44166</v>
      </c>
      <c r="B6" s="4">
        <f>LN('Historical Data'!B7/'Historical Data'!B6)</f>
        <v>-5.5166637953627468E-3</v>
      </c>
      <c r="C6" s="4">
        <f>LN('Historical Data'!C7/'Historical Data'!C6)</f>
        <v>-1.5698598618990936E-2</v>
      </c>
      <c r="D6" s="4">
        <f>LN('Historical Data'!D7/'Historical Data'!D6)</f>
        <v>3.6966629641605048E-2</v>
      </c>
      <c r="E6" s="4">
        <f>LN('Historical Data'!E7/'Historical Data'!E6)</f>
        <v>4.1748863215721882E-2</v>
      </c>
      <c r="F6" s="4">
        <f>LN('Historical Data'!F7/'Historical Data'!F6)</f>
        <v>-0.12090838424878265</v>
      </c>
      <c r="G6" s="4">
        <f>LN('Historical Data'!G7/'Historical Data'!G6)</f>
        <v>-5.5819713351147542E-2</v>
      </c>
      <c r="H6" s="4">
        <f>LN('Historical Data'!H7/'Historical Data'!H6)</f>
        <v>4.1997263060384232E-2</v>
      </c>
      <c r="I6" s="4">
        <f>LN('Historical Data'!I7/'Historical Data'!I6)</f>
        <v>-4.7155749199687185E-3</v>
      </c>
      <c r="J6" s="4">
        <f>LN('Historical Data'!J7/'Historical Data'!J6)</f>
        <v>-6.8120852039201096E-2</v>
      </c>
      <c r="K6" s="4">
        <f>LN('Historical Data'!K7/'Historical Data'!K6)</f>
        <v>0.11734378202329922</v>
      </c>
    </row>
    <row r="7" spans="1:14">
      <c r="A7" s="8">
        <v>44197</v>
      </c>
      <c r="B7" s="4">
        <f>LN('Historical Data'!B8/'Historical Data'!B7)</f>
        <v>-8.4561528241633863E-2</v>
      </c>
      <c r="C7" s="4">
        <f>LN('Historical Data'!C8/'Historical Data'!C7)</f>
        <v>-3.5967573575716387E-2</v>
      </c>
      <c r="D7" s="4">
        <f>LN('Historical Data'!D8/'Historical Data'!D7)</f>
        <v>4.2097648104560591E-2</v>
      </c>
      <c r="E7" s="4">
        <f>LN('Historical Data'!E8/'Historical Data'!E7)</f>
        <v>0.10117022946559021</v>
      </c>
      <c r="F7" s="4">
        <f>LN('Historical Data'!F8/'Historical Data'!F7)</f>
        <v>0.11348062161920829</v>
      </c>
      <c r="G7" s="4">
        <f>LN('Historical Data'!G8/'Historical Data'!G7)</f>
        <v>-2.7524014092933815E-3</v>
      </c>
      <c r="H7" s="4">
        <f>LN('Historical Data'!H8/'Historical Data'!H7)</f>
        <v>1.8091945866774556E-3</v>
      </c>
      <c r="I7" s="4">
        <f>LN('Historical Data'!I8/'Historical Data'!I7)</f>
        <v>5.4293258097365821E-2</v>
      </c>
      <c r="J7" s="4">
        <f>LN('Historical Data'!J8/'Historical Data'!J7)</f>
        <v>6.9153807139363865E-2</v>
      </c>
      <c r="K7" s="4">
        <f>LN('Historical Data'!K8/'Historical Data'!K7)</f>
        <v>-0.16103804099642244</v>
      </c>
    </row>
    <row r="8" spans="1:14">
      <c r="A8" s="8">
        <v>44228</v>
      </c>
      <c r="B8" s="4">
        <f>LN('Historical Data'!B9/'Historical Data'!B8)</f>
        <v>8.8054105487271311E-3</v>
      </c>
      <c r="C8" s="4">
        <f>LN('Historical Data'!C9/'Historical Data'!C8)</f>
        <v>3.7174661532602977E-4</v>
      </c>
      <c r="D8" s="4">
        <f>LN('Historical Data'!D9/'Historical Data'!D8)</f>
        <v>-1.3304413628523228E-2</v>
      </c>
      <c r="E8" s="4">
        <f>LN('Historical Data'!E9/'Historical Data'!E8)</f>
        <v>1.9886013250264397E-2</v>
      </c>
      <c r="F8" s="4">
        <f>LN('Historical Data'!F9/'Historical Data'!F8)</f>
        <v>6.1978113625538673E-3</v>
      </c>
      <c r="G8" s="4">
        <f>LN('Historical Data'!G9/'Historical Data'!G8)</f>
        <v>0.13389503692622345</v>
      </c>
      <c r="H8" s="4">
        <f>LN('Historical Data'!H9/'Historical Data'!H8)</f>
        <v>1.6783527558111161E-2</v>
      </c>
      <c r="I8" s="4">
        <f>LN('Historical Data'!I9/'Historical Data'!I8)</f>
        <v>-2.7068136054657993E-2</v>
      </c>
      <c r="J8" s="4">
        <f>LN('Historical Data'!J9/'Historical Data'!J8)</f>
        <v>8.4100588802992329E-2</v>
      </c>
      <c r="K8" s="4">
        <f>LN('Historical Data'!K9/'Historical Data'!K8)</f>
        <v>-1.1270077528446894E-2</v>
      </c>
    </row>
    <row r="9" spans="1:14">
      <c r="A9" s="8">
        <v>44256</v>
      </c>
      <c r="B9" s="4">
        <f>LN('Historical Data'!B10/'Historical Data'!B9)</f>
        <v>7.3452977460266314E-2</v>
      </c>
      <c r="C9" s="4">
        <f>LN('Historical Data'!C10/'Historical Data'!C9)</f>
        <v>0.11392019325058272</v>
      </c>
      <c r="D9" s="4">
        <f>LN('Historical Data'!D10/'Historical Data'!D9)</f>
        <v>-8.4339227399363465E-3</v>
      </c>
      <c r="E9" s="4">
        <f>LN('Historical Data'!E10/'Historical Data'!E9)</f>
        <v>0.13197469319383717</v>
      </c>
      <c r="F9" s="4">
        <f>LN('Historical Data'!F10/'Historical Data'!F9)</f>
        <v>7.0506760632270252E-2</v>
      </c>
      <c r="G9" s="4">
        <f>LN('Historical Data'!G10/'Historical Data'!G9)</f>
        <v>9.8690382758579318E-2</v>
      </c>
      <c r="H9" s="4">
        <f>LN('Historical Data'!H10/'Historical Data'!H9)</f>
        <v>6.7286131566296467E-2</v>
      </c>
      <c r="I9" s="4">
        <f>LN('Historical Data'!I10/'Historical Data'!I9)</f>
        <v>0.11764313075475889</v>
      </c>
      <c r="J9" s="4">
        <f>LN('Historical Data'!J10/'Historical Data'!J9)</f>
        <v>7.7045781460902379E-2</v>
      </c>
      <c r="K9" s="4">
        <f>LN('Historical Data'!K10/'Historical Data'!K9)</f>
        <v>6.0292698517660941E-2</v>
      </c>
    </row>
    <row r="10" spans="1:14">
      <c r="A10" s="8">
        <v>44287</v>
      </c>
      <c r="B10" s="4">
        <f>LN('Historical Data'!B11/'Historical Data'!B10)</f>
        <v>-5.351387804640572E-2</v>
      </c>
      <c r="C10" s="4">
        <f>LN('Historical Data'!C11/'Historical Data'!C10)</f>
        <v>-7.3076480070740385E-2</v>
      </c>
      <c r="D10" s="4">
        <f>LN('Historical Data'!D11/'Historical Data'!D10)</f>
        <v>3.4746641107891607E-2</v>
      </c>
      <c r="E10" s="4">
        <f>LN('Historical Data'!E11/'Historical Data'!E10)</f>
        <v>1.4228049609312638E-3</v>
      </c>
      <c r="F10" s="4">
        <f>LN('Historical Data'!F11/'Historical Data'!F10)</f>
        <v>-5.6677503556045304E-2</v>
      </c>
      <c r="G10" s="4">
        <f>LN('Historical Data'!G11/'Historical Data'!G10)</f>
        <v>1.1165634963294559E-2</v>
      </c>
      <c r="H10" s="4">
        <f>LN('Historical Data'!H11/'Historical Data'!H10)</f>
        <v>-9.9631258055516616E-3</v>
      </c>
      <c r="I10" s="4">
        <f>LN('Historical Data'!I11/'Historical Data'!I10)</f>
        <v>7.9071026935706196E-2</v>
      </c>
      <c r="J10" s="4">
        <f>LN('Historical Data'!J11/'Historical Data'!J10)</f>
        <v>4.2502194609303552E-2</v>
      </c>
      <c r="K10" s="4">
        <f>LN('Historical Data'!K11/'Historical Data'!K10)</f>
        <v>-0.12637217868532388</v>
      </c>
    </row>
    <row r="11" spans="1:14">
      <c r="A11" s="8">
        <v>44317</v>
      </c>
      <c r="B11" s="4">
        <f>LN('Historical Data'!B12/'Historical Data'!B11)</f>
        <v>9.6197264707480842E-2</v>
      </c>
      <c r="C11" s="4">
        <f>LN('Historical Data'!C12/'Historical Data'!C11)</f>
        <v>6.5183660438693752E-2</v>
      </c>
      <c r="D11" s="4">
        <f>LN('Historical Data'!D12/'Historical Data'!D11)</f>
        <v>9.5029545407167397E-3</v>
      </c>
      <c r="E11" s="4">
        <f>LN('Historical Data'!E12/'Historical Data'!E11)</f>
        <v>3.5405322527577006E-2</v>
      </c>
      <c r="F11" s="4">
        <f>LN('Historical Data'!F12/'Historical Data'!F11)</f>
        <v>1.2429887866245834E-2</v>
      </c>
      <c r="G11" s="4">
        <f>LN('Historical Data'!G12/'Historical Data'!G11)</f>
        <v>5.6132021483949759E-2</v>
      </c>
      <c r="H11" s="4">
        <f>LN('Historical Data'!H12/'Historical Data'!H11)</f>
        <v>8.3875860560516741E-2</v>
      </c>
      <c r="I11" s="4">
        <f>LN('Historical Data'!I12/'Historical Data'!I11)</f>
        <v>0.20810268205799495</v>
      </c>
      <c r="J11" s="4">
        <f>LN('Historical Data'!J12/'Historical Data'!J11)</f>
        <v>-1.1496127323293701E-2</v>
      </c>
      <c r="K11" s="4">
        <f>LN('Historical Data'!K12/'Historical Data'!K11)</f>
        <v>8.3547923733690035E-2</v>
      </c>
    </row>
    <row r="12" spans="1:14">
      <c r="A12" s="8">
        <v>44348</v>
      </c>
      <c r="B12" s="4">
        <f>LN('Historical Data'!B13/'Historical Data'!B12)</f>
        <v>6.2958103352188044E-2</v>
      </c>
      <c r="C12" s="4">
        <f>LN('Historical Data'!C13/'Historical Data'!C12)</f>
        <v>-3.3269663677392113E-2</v>
      </c>
      <c r="D12" s="4">
        <f>LN('Historical Data'!D13/'Historical Data'!D12)</f>
        <v>2.5589715478485361E-2</v>
      </c>
      <c r="E12" s="4">
        <f>LN('Historical Data'!E13/'Historical Data'!E12)</f>
        <v>9.8492131939855204E-2</v>
      </c>
      <c r="F12" s="4">
        <f>LN('Historical Data'!F13/'Historical Data'!F12)</f>
        <v>5.5538042894363975E-2</v>
      </c>
      <c r="G12" s="4">
        <f>LN('Historical Data'!G13/'Historical Data'!G12)</f>
        <v>2.4404077199958792E-2</v>
      </c>
      <c r="H12" s="4">
        <f>LN('Historical Data'!H13/'Historical Data'!H12)</f>
        <v>5.0423954815644371E-2</v>
      </c>
      <c r="I12" s="4">
        <f>LN('Historical Data'!I13/'Historical Data'!I12)</f>
        <v>-2.5264868166827381E-2</v>
      </c>
      <c r="J12" s="4">
        <f>LN('Historical Data'!J13/'Historical Data'!J12)</f>
        <v>0.11286055020189936</v>
      </c>
      <c r="K12" s="4">
        <f>LN('Historical Data'!K13/'Historical Data'!K12)</f>
        <v>1.0973844711766484E-2</v>
      </c>
    </row>
    <row r="13" spans="1:14">
      <c r="A13" s="8">
        <v>44378</v>
      </c>
      <c r="B13" s="4">
        <f>LN('Historical Data'!B14/'Historical Data'!B13)</f>
        <v>4.0114686269191041E-2</v>
      </c>
      <c r="C13" s="4">
        <f>LN('Historical Data'!C14/'Historical Data'!C13)</f>
        <v>4.2133915498725999E-2</v>
      </c>
      <c r="D13" s="4">
        <f>LN('Historical Data'!D14/'Historical Data'!D13)</f>
        <v>2.4039014105066245E-2</v>
      </c>
      <c r="E13" s="4">
        <f>LN('Historical Data'!E14/'Historical Data'!E13)</f>
        <v>7.1398580298323702E-2</v>
      </c>
      <c r="F13" s="4">
        <f>LN('Historical Data'!F14/'Historical Data'!F13)</f>
        <v>-0.10740089596052549</v>
      </c>
      <c r="G13" s="4">
        <f>LN('Historical Data'!G14/'Historical Data'!G13)</f>
        <v>6.2765306857205119E-2</v>
      </c>
      <c r="H13" s="4">
        <f>LN('Historical Data'!H14/'Historical Data'!H13)</f>
        <v>5.7856251778716387E-2</v>
      </c>
      <c r="I13" s="4">
        <f>LN('Historical Data'!I14/'Historical Data'!I13)</f>
        <v>0.13802790779042068</v>
      </c>
      <c r="J13" s="4">
        <f>LN('Historical Data'!J14/'Historical Data'!J13)</f>
        <v>2.6262040632314715E-2</v>
      </c>
      <c r="K13" s="4">
        <f>LN('Historical Data'!K14/'Historical Data'!K13)</f>
        <v>6.8224095374517624E-2</v>
      </c>
    </row>
    <row r="14" spans="1:14">
      <c r="A14" s="8">
        <v>44409</v>
      </c>
      <c r="B14" s="4">
        <f>LN('Historical Data'!B15/'Historical Data'!B14)</f>
        <v>-6.8965054179666044E-2</v>
      </c>
      <c r="C14" s="4">
        <f>LN('Historical Data'!C15/'Historical Data'!C14)</f>
        <v>-5.5003405330353652E-2</v>
      </c>
      <c r="D14" s="4">
        <f>LN('Historical Data'!D15/'Historical Data'!D14)</f>
        <v>-2.5007806701301198E-2</v>
      </c>
      <c r="E14" s="4">
        <f>LN('Historical Data'!E15/'Historical Data'!E14)</f>
        <v>-7.922638689409002E-2</v>
      </c>
      <c r="F14" s="4">
        <f>LN('Historical Data'!F15/'Historical Data'!F14)</f>
        <v>4.17908674946702E-3</v>
      </c>
      <c r="G14" s="4">
        <f>LN('Historical Data'!G15/'Historical Data'!G14)</f>
        <v>-0.1113882238630215</v>
      </c>
      <c r="H14" s="4">
        <f>LN('Historical Data'!H15/'Historical Data'!H14)</f>
        <v>-6.6493567831703501E-2</v>
      </c>
      <c r="I14" s="4">
        <f>LN('Historical Data'!I15/'Historical Data'!I14)</f>
        <v>-7.7308267391856145E-2</v>
      </c>
      <c r="J14" s="4">
        <f>LN('Historical Data'!J15/'Historical Data'!J14)</f>
        <v>-2.2694728325321111E-2</v>
      </c>
      <c r="K14" s="4">
        <f>LN('Historical Data'!K15/'Historical Data'!K14)</f>
        <v>5.2632451956010698E-2</v>
      </c>
    </row>
    <row r="15" spans="1:14">
      <c r="A15" s="8">
        <v>44440</v>
      </c>
      <c r="B15" s="4">
        <f>LN('Historical Data'!B16/'Historical Data'!B15)</f>
        <v>5.7001470138716995E-2</v>
      </c>
      <c r="C15" s="4">
        <f>LN('Historical Data'!C16/'Historical Data'!C15)</f>
        <v>2.6254724346159528E-2</v>
      </c>
      <c r="D15" s="4">
        <f>LN('Historical Data'!D16/'Historical Data'!D15)</f>
        <v>9.9320429971675547E-2</v>
      </c>
      <c r="E15" s="4">
        <f>LN('Historical Data'!E16/'Historical Data'!E15)</f>
        <v>0.10210432347288416</v>
      </c>
      <c r="F15" s="4">
        <f>LN('Historical Data'!F16/'Historical Data'!F15)</f>
        <v>-3.5601216467986328E-2</v>
      </c>
      <c r="G15" s="4">
        <f>LN('Historical Data'!G16/'Historical Data'!G15)</f>
        <v>-4.7734188256524895E-2</v>
      </c>
      <c r="H15" s="4">
        <f>LN('Historical Data'!H16/'Historical Data'!H15)</f>
        <v>0.16236607270455952</v>
      </c>
      <c r="I15" s="4">
        <f>LN('Historical Data'!I16/'Historical Data'!I15)</f>
        <v>0.21039577698307099</v>
      </c>
      <c r="J15" s="4">
        <f>LN('Historical Data'!J16/'Historical Data'!J15)</f>
        <v>9.6321806436104412E-2</v>
      </c>
      <c r="K15" s="4">
        <f>LN('Historical Data'!K16/'Historical Data'!K15)</f>
        <v>0.3622302672020109</v>
      </c>
    </row>
    <row r="16" spans="1:14">
      <c r="A16" s="8">
        <v>44470</v>
      </c>
      <c r="B16" s="4">
        <f>LN('Historical Data'!B17/'Historical Data'!B16)</f>
        <v>9.8460955607378053E-2</v>
      </c>
      <c r="C16" s="4">
        <f>LN('Historical Data'!C17/'Historical Data'!C16)</f>
        <v>3.9147378269960106E-2</v>
      </c>
      <c r="D16" s="4">
        <f>LN('Historical Data'!D17/'Historical Data'!D16)</f>
        <v>4.0563924813395019E-2</v>
      </c>
      <c r="E16" s="4">
        <f>LN('Historical Data'!E17/'Historical Data'!E16)</f>
        <v>-4.2418188091024829E-2</v>
      </c>
      <c r="F16" s="4">
        <f>LN('Historical Data'!F17/'Historical Data'!F16)</f>
        <v>-6.2100155196028253E-2</v>
      </c>
      <c r="G16" s="4">
        <f>LN('Historical Data'!G17/'Historical Data'!G16)</f>
        <v>2.7463314136459156E-3</v>
      </c>
      <c r="H16" s="4">
        <f>LN('Historical Data'!H17/'Historical Data'!H16)</f>
        <v>-3.1106350284684043E-3</v>
      </c>
      <c r="I16" s="4">
        <f>LN('Historical Data'!I17/'Historical Data'!I16)</f>
        <v>0.2453387025273624</v>
      </c>
      <c r="J16" s="4">
        <f>LN('Historical Data'!J17/'Historical Data'!J16)</f>
        <v>-5.2251911469623366E-2</v>
      </c>
      <c r="K16" s="4">
        <f>LN('Historical Data'!K17/'Historical Data'!K16)</f>
        <v>2.7238043664758075E-2</v>
      </c>
    </row>
    <row r="17" spans="1:11">
      <c r="A17" s="8">
        <v>44501</v>
      </c>
      <c r="B17" s="4">
        <f>LN('Historical Data'!B18/'Historical Data'!B17)</f>
        <v>7.3061758985275643E-2</v>
      </c>
      <c r="C17" s="4">
        <f>LN('Historical Data'!C18/'Historical Data'!C17)</f>
        <v>-5.0506172305566407E-2</v>
      </c>
      <c r="D17" s="4">
        <f>LN('Historical Data'!D18/'Historical Data'!D17)</f>
        <v>0.18381658583107474</v>
      </c>
      <c r="E17" s="4">
        <f>LN('Historical Data'!E18/'Historical Data'!E17)</f>
        <v>2.0607832249870051E-2</v>
      </c>
      <c r="F17" s="4">
        <f>LN('Historical Data'!F18/'Historical Data'!F17)</f>
        <v>0.13189484961998335</v>
      </c>
      <c r="G17" s="4">
        <f>LN('Historical Data'!G18/'Historical Data'!G17)</f>
        <v>3.5990175831318451E-2</v>
      </c>
      <c r="H17" s="4">
        <f>LN('Historical Data'!H18/'Historical Data'!H17)</f>
        <v>1.9012102531187427E-2</v>
      </c>
      <c r="I17" s="4">
        <f>LN('Historical Data'!I18/'Historical Data'!I17)</f>
        <v>-0.10527210264327075</v>
      </c>
      <c r="J17" s="4">
        <f>LN('Historical Data'!J18/'Historical Data'!J17)</f>
        <v>-3.9679423272616303E-2</v>
      </c>
      <c r="K17" s="4">
        <f>LN('Historical Data'!K18/'Historical Data'!K17)</f>
        <v>-7.9968546413117417E-2</v>
      </c>
    </row>
    <row r="18" spans="1:11">
      <c r="A18" s="8">
        <v>44531</v>
      </c>
      <c r="B18" s="4">
        <f>LN('Historical Data'!B19/'Historical Data'!B18)</f>
        <v>-1.5837294933547477E-2</v>
      </c>
      <c r="C18" s="4">
        <f>LN('Historical Data'!C19/'Historical Data'!C18)</f>
        <v>-0.10850985334928992</v>
      </c>
      <c r="D18" s="4">
        <f>LN('Historical Data'!D19/'Historical Data'!D18)</f>
        <v>-0.12091190082560552</v>
      </c>
      <c r="E18" s="4">
        <f>LN('Historical Data'!E19/'Historical Data'!E18)</f>
        <v>-6.8192164233039532E-2</v>
      </c>
      <c r="F18" s="4">
        <f>LN('Historical Data'!F19/'Historical Data'!F18)</f>
        <v>7.2608056606907986E-2</v>
      </c>
      <c r="G18" s="4">
        <f>LN('Historical Data'!G19/'Historical Data'!G18)</f>
        <v>-7.1118675641461016E-2</v>
      </c>
      <c r="H18" s="4">
        <f>LN('Historical Data'!H19/'Historical Data'!H18)</f>
        <v>-7.8334669673592025E-2</v>
      </c>
      <c r="I18" s="4">
        <f>LN('Historical Data'!I19/'Historical Data'!I18)</f>
        <v>-0.18314486686167322</v>
      </c>
      <c r="J18" s="4">
        <f>LN('Historical Data'!J19/'Historical Data'!J18)</f>
        <v>-7.189642922405666E-2</v>
      </c>
      <c r="K18" s="4">
        <f>LN('Historical Data'!K19/'Historical Data'!K18)</f>
        <v>-0.12059741643178999</v>
      </c>
    </row>
    <row r="19" spans="1:11">
      <c r="A19" s="8">
        <v>44562</v>
      </c>
      <c r="B19" s="4">
        <f>LN('Historical Data'!B20/'Historical Data'!B19)</f>
        <v>-5.6855613677537581E-2</v>
      </c>
      <c r="C19" s="4">
        <f>LN('Historical Data'!C20/'Historical Data'!C19)</f>
        <v>2.6322995467381691E-2</v>
      </c>
      <c r="D19" s="4">
        <f>LN('Historical Data'!D20/'Historical Data'!D19)</f>
        <v>2.6592592652367082E-3</v>
      </c>
      <c r="E19" s="4">
        <f>LN('Historical Data'!E20/'Historical Data'!E19)</f>
        <v>-1.8234057890591827E-3</v>
      </c>
      <c r="F19" s="4">
        <f>LN('Historical Data'!F20/'Historical Data'!F19)</f>
        <v>-6.7130806204904803E-2</v>
      </c>
      <c r="G19" s="4">
        <f>LN('Historical Data'!G20/'Historical Data'!G19)</f>
        <v>-0.39503344607035762</v>
      </c>
      <c r="H19" s="4">
        <f>LN('Historical Data'!H20/'Historical Data'!H19)</f>
        <v>-3.9987577775616144E-2</v>
      </c>
      <c r="I19" s="4">
        <f>LN('Historical Data'!I20/'Historical Data'!I19)</f>
        <v>-4.1333224621533703E-3</v>
      </c>
      <c r="J19" s="4">
        <f>LN('Historical Data'!J20/'Historical Data'!J19)</f>
        <v>-6.2376295699695876E-2</v>
      </c>
      <c r="K19" s="4">
        <f>LN('Historical Data'!K20/'Historical Data'!K19)</f>
        <v>-7.3397184006749369E-2</v>
      </c>
    </row>
    <row r="20" spans="1:11">
      <c r="A20" s="8">
        <v>44593</v>
      </c>
      <c r="B20" s="4">
        <f>LN('Historical Data'!B21/'Historical Data'!B20)</f>
        <v>5.7156114524264397E-2</v>
      </c>
      <c r="C20" s="4">
        <f>LN('Historical Data'!C21/'Historical Data'!C20)</f>
        <v>5.9623956986477045E-2</v>
      </c>
      <c r="D20" s="4">
        <f>LN('Historical Data'!D21/'Historical Data'!D20)</f>
        <v>6.9437527484066175E-2</v>
      </c>
      <c r="E20" s="4">
        <f>LN('Historical Data'!E21/'Historical Data'!E20)</f>
        <v>2.9262303250881722E-2</v>
      </c>
      <c r="F20" s="4">
        <f>LN('Historical Data'!F21/'Historical Data'!F20)</f>
        <v>-9.5796486753798316E-3</v>
      </c>
      <c r="G20" s="4">
        <f>LN('Historical Data'!G21/'Historical Data'!G20)</f>
        <v>5.2297476849600712E-2</v>
      </c>
      <c r="H20" s="4">
        <f>LN('Historical Data'!H21/'Historical Data'!H20)</f>
        <v>3.3430312534926232E-2</v>
      </c>
      <c r="I20" s="4">
        <f>LN('Historical Data'!I21/'Historical Data'!I20)</f>
        <v>0.11240546843510196</v>
      </c>
      <c r="J20" s="4">
        <f>LN('Historical Data'!J21/'Historical Data'!J20)</f>
        <v>8.5244004014917454E-2</v>
      </c>
      <c r="K20" s="4">
        <f>LN('Historical Data'!K21/'Historical Data'!K20)</f>
        <v>0.21350439756243444</v>
      </c>
    </row>
    <row r="21" spans="1:11">
      <c r="A21" s="8">
        <v>44621</v>
      </c>
      <c r="B21" s="4">
        <f>LN('Historical Data'!B22/'Historical Data'!B21)</f>
        <v>-0.10217803212979519</v>
      </c>
      <c r="C21" s="4">
        <f>LN('Historical Data'!C22/'Historical Data'!C21)</f>
        <v>-0.2711857092933817</v>
      </c>
      <c r="D21" s="4">
        <f>LN('Historical Data'!D22/'Historical Data'!D21)</f>
        <v>-0.12060405827973424</v>
      </c>
      <c r="E21" s="4">
        <f>LN('Historical Data'!E22/'Historical Data'!E21)</f>
        <v>-0.19780056081010342</v>
      </c>
      <c r="F21" s="4">
        <f>LN('Historical Data'!F22/'Historical Data'!F21)</f>
        <v>1.6649495676854788E-2</v>
      </c>
      <c r="G21" s="4">
        <f>LN('Historical Data'!G22/'Historical Data'!G21)</f>
        <v>-0.10363318113838879</v>
      </c>
      <c r="H21" s="4">
        <f>LN('Historical Data'!H22/'Historical Data'!H21)</f>
        <v>-0.10521257226363716</v>
      </c>
      <c r="I21" s="4">
        <f>LN('Historical Data'!I22/'Historical Data'!I21)</f>
        <v>-0.38589506101342907</v>
      </c>
      <c r="J21" s="4">
        <f>LN('Historical Data'!J22/'Historical Data'!J21)</f>
        <v>-0.11965823131331957</v>
      </c>
      <c r="K21" s="4">
        <f>LN('Historical Data'!K22/'Historical Data'!K21)</f>
        <v>-0.21312534640563197</v>
      </c>
    </row>
    <row r="22" spans="1:11">
      <c r="A22" s="8">
        <v>44652</v>
      </c>
      <c r="B22" s="4">
        <f>LN('Historical Data'!B23/'Historical Data'!B22)</f>
        <v>-5.7505126562053047E-2</v>
      </c>
      <c r="C22" s="4">
        <f>LN('Historical Data'!C23/'Historical Data'!C22)</f>
        <v>-3.3313100052673725E-2</v>
      </c>
      <c r="D22" s="4">
        <f>LN('Historical Data'!D23/'Historical Data'!D22)</f>
        <v>4.5384062012898657E-2</v>
      </c>
      <c r="E22" s="4">
        <f>LN('Historical Data'!E23/'Historical Data'!E22)</f>
        <v>-3.0497918789332262E-3</v>
      </c>
      <c r="F22" s="4">
        <f>LN('Historical Data'!F23/'Historical Data'!F22)</f>
        <v>-1.3892153854590099E-2</v>
      </c>
      <c r="G22" s="4">
        <f>LN('Historical Data'!G23/'Historical Data'!G22)</f>
        <v>-3.4663574879649335E-2</v>
      </c>
      <c r="H22" s="4">
        <f>LN('Historical Data'!H23/'Historical Data'!H22)</f>
        <v>-2.0568986921288678E-2</v>
      </c>
      <c r="I22" s="4">
        <f>LN('Historical Data'!I23/'Historical Data'!I22)</f>
        <v>6.7172094117784334E-3</v>
      </c>
      <c r="J22" s="4">
        <f>LN('Historical Data'!J23/'Historical Data'!J22)</f>
        <v>-1.6465328514610481E-2</v>
      </c>
      <c r="K22" s="4">
        <f>LN('Historical Data'!K23/'Historical Data'!K22)</f>
        <v>-0.13834007582724359</v>
      </c>
    </row>
    <row r="23" spans="1:11">
      <c r="A23" s="8">
        <v>44682</v>
      </c>
      <c r="B23" s="4">
        <f>LN('Historical Data'!B24/'Historical Data'!B23)</f>
        <v>-8.3468444785490536E-2</v>
      </c>
      <c r="C23" s="4">
        <f>LN('Historical Data'!C24/'Historical Data'!C23)</f>
        <v>-0.12381778758632632</v>
      </c>
      <c r="D23" s="4">
        <f>LN('Historical Data'!D24/'Historical Data'!D23)</f>
        <v>-0.17743479482594163</v>
      </c>
      <c r="E23" s="4">
        <f>LN('Historical Data'!E24/'Historical Data'!E23)</f>
        <v>-4.3100820499334058E-2</v>
      </c>
      <c r="F23" s="4">
        <f>LN('Historical Data'!F24/'Historical Data'!F23)</f>
        <v>-0.12607488295849675</v>
      </c>
      <c r="G23" s="4">
        <f>LN('Historical Data'!G24/'Historical Data'!G23)</f>
        <v>-0.18304510971973292</v>
      </c>
      <c r="H23" s="4">
        <f>LN('Historical Data'!H24/'Historical Data'!H23)</f>
        <v>-5.458339527536045E-2</v>
      </c>
      <c r="I23" s="4">
        <f>LN('Historical Data'!I24/'Historical Data'!I23)</f>
        <v>-0.20843118844391761</v>
      </c>
      <c r="J23" s="4">
        <f>LN('Historical Data'!J24/'Historical Data'!J23)</f>
        <v>-2.891788923359084E-2</v>
      </c>
      <c r="K23" s="4">
        <f>LN('Historical Data'!K24/'Historical Data'!K23)</f>
        <v>-0.11865714504339087</v>
      </c>
    </row>
    <row r="24" spans="1:11">
      <c r="A24" s="8">
        <v>44713</v>
      </c>
      <c r="B24" s="4">
        <f>LN('Historical Data'!B25/'Historical Data'!B24)</f>
        <v>0.17280443117840452</v>
      </c>
      <c r="C24" s="4">
        <f>LN('Historical Data'!C25/'Historical Data'!C24)</f>
        <v>0.23948607313056541</v>
      </c>
      <c r="D24" s="4">
        <f>LN('Historical Data'!D25/'Historical Data'!D24)</f>
        <v>0.10560215586070665</v>
      </c>
      <c r="E24" s="4">
        <f>LN('Historical Data'!E25/'Historical Data'!E24)</f>
        <v>6.5336601353735507E-2</v>
      </c>
      <c r="F24" s="4">
        <f>LN('Historical Data'!F25/'Historical Data'!F24)</f>
        <v>0.11460866362309634</v>
      </c>
      <c r="G24" s="4">
        <f>LN('Historical Data'!G25/'Historical Data'!G24)</f>
        <v>-1.3422851689388463E-2</v>
      </c>
      <c r="H24" s="4">
        <f>LN('Historical Data'!H25/'Historical Data'!H24)</f>
        <v>8.9014844876514523E-2</v>
      </c>
      <c r="I24" s="4">
        <f>LN('Historical Data'!I25/'Historical Data'!I24)</f>
        <v>0.18100392958390127</v>
      </c>
      <c r="J24" s="4">
        <f>LN('Historical Data'!J25/'Historical Data'!J24)</f>
        <v>0.10801874932826568</v>
      </c>
      <c r="K24" s="4">
        <f>LN('Historical Data'!K25/'Historical Data'!K24)</f>
        <v>0.28048029266089147</v>
      </c>
    </row>
    <row r="25" spans="1:11">
      <c r="A25" s="8">
        <v>44743</v>
      </c>
      <c r="B25" s="4">
        <f>LN('Historical Data'!B26/'Historical Data'!B25)</f>
        <v>-3.3093631986848525E-2</v>
      </c>
      <c r="C25" s="4">
        <f>LN('Historical Data'!C26/'Historical Data'!C25)</f>
        <v>-6.2529918513378344E-2</v>
      </c>
      <c r="D25" s="4">
        <f>LN('Historical Data'!D26/'Historical Data'!D25)</f>
        <v>-7.0336943095026139E-2</v>
      </c>
      <c r="E25" s="4">
        <f>LN('Historical Data'!E26/'Historical Data'!E25)</f>
        <v>-7.2178687191277305E-2</v>
      </c>
      <c r="F25" s="4">
        <f>LN('Historical Data'!F26/'Historical Data'!F25)</f>
        <v>-8.5287674235194649E-2</v>
      </c>
      <c r="G25" s="4">
        <f>LN('Historical Data'!G26/'Historical Data'!G25)</f>
        <v>2.3787517090643244E-2</v>
      </c>
      <c r="H25" s="4">
        <f>LN('Historical Data'!H26/'Historical Data'!H25)</f>
        <v>-7.1109623344982928E-2</v>
      </c>
      <c r="I25" s="4">
        <f>LN('Historical Data'!I26/'Historical Data'!I25)</f>
        <v>-0.18508941651238625</v>
      </c>
      <c r="J25" s="4">
        <f>LN('Historical Data'!J26/'Historical Data'!J25)</f>
        <v>-4.4102667888266611E-2</v>
      </c>
      <c r="K25" s="4">
        <f>LN('Historical Data'!K26/'Historical Data'!K25)</f>
        <v>-7.5250238861184759E-2</v>
      </c>
    </row>
    <row r="26" spans="1:11">
      <c r="A26" s="8">
        <v>44774</v>
      </c>
      <c r="B26" s="4">
        <f>LN('Historical Data'!B27/'Historical Data'!B26)</f>
        <v>-0.1275558516814467</v>
      </c>
      <c r="C26" s="4">
        <f>LN('Historical Data'!C27/'Historical Data'!C26)</f>
        <v>-0.11498660223829471</v>
      </c>
      <c r="D26" s="4">
        <f>LN('Historical Data'!D27/'Historical Data'!D26)</f>
        <v>-0.11697926586710171</v>
      </c>
      <c r="E26" s="4">
        <f>LN('Historical Data'!E27/'Historical Data'!E26)</f>
        <v>-0.12347042987136843</v>
      </c>
      <c r="F26" s="4">
        <f>LN('Historical Data'!F27/'Historical Data'!F26)</f>
        <v>-0.13171390676681982</v>
      </c>
      <c r="G26" s="4">
        <f>LN('Historical Data'!G27/'Historical Data'!G26)</f>
        <v>-0.18302123219561156</v>
      </c>
      <c r="H26" s="4">
        <f>LN('Historical Data'!H27/'Historical Data'!H26)</f>
        <v>-0.11358977363667903</v>
      </c>
      <c r="I26" s="4">
        <f>LN('Historical Data'!I27/'Historical Data'!I26)</f>
        <v>-0.21787411148798203</v>
      </c>
      <c r="J26" s="4">
        <f>LN('Historical Data'!J27/'Historical Data'!J26)</f>
        <v>-0.19406934761028147</v>
      </c>
      <c r="K26" s="4">
        <f>LN('Historical Data'!K27/'Historical Data'!K26)</f>
        <v>-3.8314045457392337E-2</v>
      </c>
    </row>
    <row r="27" spans="1:11">
      <c r="A27" s="8">
        <v>44805</v>
      </c>
      <c r="B27" s="4">
        <f>LN('Historical Data'!B28/'Historical Data'!B27)</f>
        <v>0.10395492240185637</v>
      </c>
      <c r="C27" s="4">
        <f>LN('Historical Data'!C28/'Historical Data'!C27)</f>
        <v>-9.811055738101615E-2</v>
      </c>
      <c r="D27" s="4">
        <f>LN('Historical Data'!D28/'Historical Data'!D27)</f>
        <v>6.5490892291273209E-2</v>
      </c>
      <c r="E27" s="4">
        <f>LN('Historical Data'!E28/'Historical Data'!E27)</f>
        <v>-1.198992809953024E-2</v>
      </c>
      <c r="F27" s="4">
        <f>LN('Historical Data'!F28/'Historical Data'!F27)</f>
        <v>0.14339138286779468</v>
      </c>
      <c r="G27" s="4">
        <f>LN('Historical Data'!G28/'Historical Data'!G27)</f>
        <v>-0.37598068900955778</v>
      </c>
      <c r="H27" s="4">
        <f>LN('Historical Data'!H28/'Historical Data'!H27)</f>
        <v>-3.3120129644825707E-3</v>
      </c>
      <c r="I27" s="4">
        <f>LN('Historical Data'!I28/'Historical Data'!I27)</f>
        <v>0.1063409907596171</v>
      </c>
      <c r="J27" s="4">
        <f>LN('Historical Data'!J28/'Historical Data'!J27)</f>
        <v>0.24558507176347361</v>
      </c>
      <c r="K27" s="4">
        <f>LN('Historical Data'!K28/'Historical Data'!K27)</f>
        <v>-0.15334673038252214</v>
      </c>
    </row>
    <row r="28" spans="1:11">
      <c r="A28" s="8">
        <v>44835</v>
      </c>
      <c r="B28" s="4">
        <f>LN('Historical Data'!B29/'Historical Data'!B28)</f>
        <v>-3.5242178309030113E-2</v>
      </c>
      <c r="C28" s="4">
        <f>LN('Historical Data'!C29/'Historical Data'!C28)</f>
        <v>-5.93198310989776E-2</v>
      </c>
      <c r="D28" s="4">
        <f>LN('Historical Data'!D29/'Historical Data'!D28)</f>
        <v>0.15880119806873177</v>
      </c>
      <c r="E28" s="4">
        <f>LN('Historical Data'!E29/'Historical Data'!E28)</f>
        <v>6.6315418215635913E-2</v>
      </c>
      <c r="F28" s="4">
        <f>LN('Historical Data'!F29/'Historical Data'!F28)</f>
        <v>8.410370277991315E-2</v>
      </c>
      <c r="G28" s="4">
        <f>LN('Historical Data'!G29/'Historical Data'!G28)</f>
        <v>0.23721314485123565</v>
      </c>
      <c r="H28" s="4">
        <f>LN('Historical Data'!H29/'Historical Data'!H28)</f>
        <v>9.4514905409019939E-2</v>
      </c>
      <c r="I28" s="4">
        <f>LN('Historical Data'!I29/'Historical Data'!I28)</f>
        <v>0.22620632995601059</v>
      </c>
      <c r="J28" s="4">
        <f>LN('Historical Data'!J29/'Historical Data'!J28)</f>
        <v>6.672347267525193E-2</v>
      </c>
      <c r="K28" s="4">
        <f>LN('Historical Data'!K29/'Historical Data'!K28)</f>
        <v>-0.15586613473341651</v>
      </c>
    </row>
    <row r="29" spans="1:11">
      <c r="A29" s="8">
        <v>44866</v>
      </c>
      <c r="B29" s="4">
        <f>LN('Historical Data'!B30/'Historical Data'!B29)</f>
        <v>-0.12876210972506572</v>
      </c>
      <c r="C29" s="4">
        <f>LN('Historical Data'!C30/'Historical Data'!C29)</f>
        <v>-0.13914063138903329</v>
      </c>
      <c r="D29" s="4">
        <f>LN('Historical Data'!D30/'Historical Data'!D29)</f>
        <v>1.4592705926184399E-2</v>
      </c>
      <c r="E29" s="4">
        <f>LN('Historical Data'!E30/'Historical Data'!E29)</f>
        <v>-0.13507409946561835</v>
      </c>
      <c r="F29" s="4">
        <f>LN('Historical Data'!F30/'Historical Data'!F29)</f>
        <v>-2.4627335741839319E-2</v>
      </c>
      <c r="G29" s="4">
        <f>LN('Historical Data'!G30/'Historical Data'!G29)</f>
        <v>1.878955147272178E-2</v>
      </c>
      <c r="H29" s="4">
        <f>LN('Historical Data'!H30/'Historical Data'!H29)</f>
        <v>-5.910958449814499E-2</v>
      </c>
      <c r="I29" s="4">
        <f>LN('Historical Data'!I30/'Historical Data'!I29)</f>
        <v>-0.14643755360960392</v>
      </c>
      <c r="J29" s="4">
        <f>LN('Historical Data'!J30/'Historical Data'!J29)</f>
        <v>-1.5658492124200833E-2</v>
      </c>
      <c r="K29" s="4">
        <f>LN('Historical Data'!K30/'Historical Data'!K29)</f>
        <v>-0.45781321211925669</v>
      </c>
    </row>
    <row r="30" spans="1:11">
      <c r="A30" s="8">
        <v>44896</v>
      </c>
      <c r="B30" s="4">
        <f>LN('Historical Data'!B31/'Historical Data'!B30)</f>
        <v>0.1048294004991016</v>
      </c>
      <c r="C30" s="4">
        <f>LN('Historical Data'!C31/'Historical Data'!C30)</f>
        <v>0.20517352948466397</v>
      </c>
      <c r="D30" s="4">
        <f>LN('Historical Data'!D31/'Historical Data'!D30)</f>
        <v>5.3556273671406994E-2</v>
      </c>
      <c r="E30" s="4">
        <f>LN('Historical Data'!E31/'Historical Data'!E30)</f>
        <v>0.11355520374608775</v>
      </c>
      <c r="F30" s="4">
        <f>LN('Historical Data'!F31/'Historical Data'!F30)</f>
        <v>6.3696822543363896E-2</v>
      </c>
      <c r="G30" s="4">
        <f>LN('Historical Data'!G31/'Historical Data'!G30)</f>
        <v>0.21342326907138692</v>
      </c>
      <c r="H30" s="4">
        <f>LN('Historical Data'!H31/'Historical Data'!H30)</f>
        <v>3.2773546457340319E-2</v>
      </c>
      <c r="I30" s="4">
        <f>LN('Historical Data'!I31/'Historical Data'!I30)</f>
        <v>0.29033006818835605</v>
      </c>
      <c r="J30" s="4">
        <f>LN('Historical Data'!J31/'Historical Data'!J30)</f>
        <v>7.9006922596324664E-2</v>
      </c>
      <c r="K30" s="4">
        <f>LN('Historical Data'!K31/'Historical Data'!K30)</f>
        <v>0.34091576264400142</v>
      </c>
    </row>
    <row r="31" spans="1:11">
      <c r="A31" s="8">
        <v>44927</v>
      </c>
      <c r="B31" s="4">
        <f>LN('Historical Data'!B32/'Historical Data'!B31)</f>
        <v>2.1393283574072736E-2</v>
      </c>
      <c r="C31" s="4">
        <f>LN('Historical Data'!C32/'Historical Data'!C31)</f>
        <v>-9.0251726109312633E-2</v>
      </c>
      <c r="D31" s="4">
        <f>LN('Historical Data'!D32/'Historical Data'!D31)</f>
        <v>1.5738470108691234E-2</v>
      </c>
      <c r="E31" s="4">
        <f>LN('Historical Data'!E32/'Historical Data'!E31)</f>
        <v>-9.3026072209416985E-2</v>
      </c>
      <c r="F31" s="4">
        <f>LN('Historical Data'!F32/'Historical Data'!F31)</f>
        <v>-4.0567226968867422E-2</v>
      </c>
      <c r="G31" s="4">
        <f>LN('Historical Data'!G32/'Historical Data'!G31)</f>
        <v>0.16069828019144647</v>
      </c>
      <c r="H31" s="4">
        <f>LN('Historical Data'!H32/'Historical Data'!H31)</f>
        <v>6.4761117897062688E-3</v>
      </c>
      <c r="I31" s="4">
        <f>LN('Historical Data'!I32/'Historical Data'!I31)</f>
        <v>0.17253134711290119</v>
      </c>
      <c r="J31" s="4">
        <f>LN('Historical Data'!J32/'Historical Data'!J31)</f>
        <v>-8.3125520289116569E-3</v>
      </c>
      <c r="K31" s="4">
        <f>LN('Historical Data'!K32/'Historical Data'!K31)</f>
        <v>0.17190494706148407</v>
      </c>
    </row>
    <row r="32" spans="1:11">
      <c r="A32" s="8">
        <v>44958</v>
      </c>
      <c r="B32" s="4">
        <f>LN('Historical Data'!B33/'Historical Data'!B32)</f>
        <v>0.11364681026400918</v>
      </c>
      <c r="C32" s="4">
        <f>LN('Historical Data'!C33/'Historical Data'!C32)</f>
        <v>9.1801963799877331E-2</v>
      </c>
      <c r="D32" s="4">
        <f>LN('Historical Data'!D33/'Historical Data'!D32)</f>
        <v>7.6504017123988563E-2</v>
      </c>
      <c r="E32" s="4">
        <f>LN('Historical Data'!E33/'Historical Data'!E32)</f>
        <v>0.14131550998274967</v>
      </c>
      <c r="F32" s="4">
        <f>LN('Historical Data'!F33/'Historical Data'!F32)</f>
        <v>2.2597182931267858E-2</v>
      </c>
      <c r="G32" s="4">
        <f>LN('Historical Data'!G33/'Historical Data'!G32)</f>
        <v>0.19186019580152111</v>
      </c>
      <c r="H32" s="4">
        <f>LN('Historical Data'!H33/'Historical Data'!H32)</f>
        <v>0.14736474026643281</v>
      </c>
      <c r="I32" s="4">
        <f>LN('Historical Data'!I33/'Historical Data'!I32)</f>
        <v>0.17936694500337019</v>
      </c>
      <c r="J32" s="4">
        <f>LN('Historical Data'!J33/'Historical Data'!J32)</f>
        <v>6.1243763453708251E-2</v>
      </c>
      <c r="K32" s="4">
        <f>LN('Historical Data'!K33/'Historical Data'!K32)</f>
        <v>8.4711400392992759E-3</v>
      </c>
    </row>
    <row r="33" spans="1:11">
      <c r="A33" s="8">
        <v>44986</v>
      </c>
      <c r="B33" s="4">
        <f>LN('Historical Data'!B34/'Historical Data'!B33)</f>
        <v>2.8574955117446083E-2</v>
      </c>
      <c r="C33" s="4">
        <f>LN('Historical Data'!C34/'Historical Data'!C33)</f>
        <v>2.0696340906241388E-2</v>
      </c>
      <c r="D33" s="4">
        <f>LN('Historical Data'!D34/'Historical Data'!D33)</f>
        <v>-1.6550935615806853E-2</v>
      </c>
      <c r="E33" s="4">
        <f>LN('Historical Data'!E34/'Historical Data'!E33)</f>
        <v>3.4209310116949311E-2</v>
      </c>
      <c r="F33" s="4">
        <f>LN('Historical Data'!F34/'Historical Data'!F33)</f>
        <v>4.4718852210020713E-2</v>
      </c>
      <c r="G33" s="4">
        <f>LN('Historical Data'!G34/'Historical Data'!G33)</f>
        <v>0.12566853006121023</v>
      </c>
      <c r="H33" s="4">
        <f>LN('Historical Data'!H34/'Historical Data'!H33)</f>
        <v>6.3693048082205259E-2</v>
      </c>
      <c r="I33" s="4">
        <f>LN('Historical Data'!I34/'Historical Data'!I33)</f>
        <v>-8.3888705846998154E-4</v>
      </c>
      <c r="J33" s="4">
        <f>LN('Historical Data'!J34/'Historical Data'!J33)</f>
        <v>1.918619566135344E-2</v>
      </c>
      <c r="K33" s="4">
        <f>LN('Historical Data'!K34/'Historical Data'!K33)</f>
        <v>-0.23318366253994235</v>
      </c>
    </row>
    <row r="34" spans="1:11">
      <c r="A34" s="8">
        <v>45017</v>
      </c>
      <c r="B34" s="4">
        <f>LN('Historical Data'!B35/'Historical Data'!B34)</f>
        <v>4.3646740654785743E-2</v>
      </c>
      <c r="C34" s="4">
        <f>LN('Historical Data'!C35/'Historical Data'!C34)</f>
        <v>0.13407652613647589</v>
      </c>
      <c r="D34" s="4">
        <f>LN('Historical Data'!D35/'Historical Data'!D34)</f>
        <v>0.25436365139247047</v>
      </c>
      <c r="E34" s="4">
        <f>LN('Historical Data'!E35/'Historical Data'!E34)</f>
        <v>0.13512620371174827</v>
      </c>
      <c r="F34" s="4">
        <f>LN('Historical Data'!F35/'Historical Data'!F34)</f>
        <v>-3.8730776145965803E-2</v>
      </c>
      <c r="G34" s="4">
        <f>LN('Historical Data'!G35/'Historical Data'!G34)</f>
        <v>9.6701274793306563E-2</v>
      </c>
      <c r="H34" s="4">
        <f>LN('Historical Data'!H35/'Historical Data'!H34)</f>
        <v>6.6507591530747201E-2</v>
      </c>
      <c r="I34" s="4">
        <f>LN('Historical Data'!I35/'Historical Data'!I34)</f>
        <v>0.3100084685063052</v>
      </c>
      <c r="J34" s="4">
        <f>LN('Historical Data'!J35/'Historical Data'!J34)</f>
        <v>0.11612684476047516</v>
      </c>
      <c r="K34" s="4">
        <f>LN('Historical Data'!K35/'Historical Data'!K34)</f>
        <v>0.21602191024051604</v>
      </c>
    </row>
    <row r="35" spans="1:11">
      <c r="A35" s="8">
        <v>45047</v>
      </c>
      <c r="B35" s="4">
        <f>LN('Historical Data'!B36/'Historical Data'!B35)</f>
        <v>9.1525026546210059E-2</v>
      </c>
      <c r="C35" s="4">
        <f>LN('Historical Data'!C36/'Historical Data'!C35)</f>
        <v>7.7986420908101345E-2</v>
      </c>
      <c r="D35" s="4">
        <f>LN('Historical Data'!D36/'Historical Data'!D35)</f>
        <v>7.1022334495610254E-2</v>
      </c>
      <c r="E35" s="4">
        <f>LN('Historical Data'!E36/'Historical Data'!E35)</f>
        <v>-2.6138382374356787E-2</v>
      </c>
      <c r="F35" s="4">
        <f>LN('Historical Data'!F36/'Historical Data'!F35)</f>
        <v>7.4620678435673451E-2</v>
      </c>
      <c r="G35" s="4">
        <f>LN('Historical Data'!G36/'Historical Data'!G35)</f>
        <v>8.0739806170775252E-2</v>
      </c>
      <c r="H35" s="4">
        <f>LN('Historical Data'!H36/'Historical Data'!H35)</f>
        <v>3.8514280197809961E-2</v>
      </c>
      <c r="I35" s="4">
        <f>LN('Historical Data'!I36/'Historical Data'!I35)</f>
        <v>0.11162599260197191</v>
      </c>
      <c r="J35" s="4">
        <f>LN('Historical Data'!J36/'Historical Data'!J35)</f>
        <v>0.11700596412027556</v>
      </c>
      <c r="K35" s="4">
        <f>LN('Historical Data'!K36/'Historical Data'!K35)</f>
        <v>0.24968945791439814</v>
      </c>
    </row>
    <row r="36" spans="1:11">
      <c r="A36" s="8">
        <v>45078</v>
      </c>
      <c r="B36" s="4">
        <f>LN('Historical Data'!B37/'Historical Data'!B36)</f>
        <v>1.2704269890204151E-2</v>
      </c>
      <c r="C36" s="4">
        <f>LN('Historical Data'!C37/'Historical Data'!C36)</f>
        <v>2.5149030317777449E-2</v>
      </c>
      <c r="D36" s="4">
        <f>LN('Historical Data'!D37/'Historical Data'!D36)</f>
        <v>4.0672273970770653E-2</v>
      </c>
      <c r="E36" s="4">
        <f>LN('Historical Data'!E37/'Historical Data'!E36)</f>
        <v>0.10325289755759523</v>
      </c>
      <c r="F36" s="4">
        <f>LN('Historical Data'!F37/'Historical Data'!F36)</f>
        <v>2.4886420305757144E-3</v>
      </c>
      <c r="G36" s="4">
        <f>LN('Historical Data'!G37/'Historical Data'!G36)</f>
        <v>0.10452397421839443</v>
      </c>
      <c r="H36" s="4">
        <f>LN('Historical Data'!H37/'Historical Data'!H36)</f>
        <v>-1.3659572284661716E-2</v>
      </c>
      <c r="I36" s="4">
        <f>LN('Historical Data'!I37/'Historical Data'!I36)</f>
        <v>9.9634252317349001E-2</v>
      </c>
      <c r="J36" s="4">
        <f>LN('Historical Data'!J37/'Historical Data'!J36)</f>
        <v>-1.5741179533297088E-2</v>
      </c>
      <c r="K36" s="4">
        <f>LN('Historical Data'!K37/'Historical Data'!K36)</f>
        <v>2.139159422964413E-2</v>
      </c>
    </row>
    <row r="37" spans="1:11">
      <c r="A37" s="8">
        <v>45108</v>
      </c>
      <c r="B37" s="4">
        <f>LN('Historical Data'!B38/'Historical Data'!B37)</f>
        <v>-4.465762314938438E-2</v>
      </c>
      <c r="C37" s="4">
        <f>LN('Historical Data'!C38/'Historical Data'!C37)</f>
        <v>3.1877262012810242E-2</v>
      </c>
      <c r="D37" s="4">
        <f>LN('Historical Data'!D38/'Historical Data'!D37)</f>
        <v>2.6616364073018595E-2</v>
      </c>
      <c r="E37" s="4">
        <f>LN('Historical Data'!E38/'Historical Data'!E37)</f>
        <v>2.5662693421771608E-2</v>
      </c>
      <c r="F37" s="4">
        <f>LN('Historical Data'!F38/'Historical Data'!F37)</f>
        <v>4.695934602444031E-2</v>
      </c>
      <c r="G37" s="4">
        <f>LN('Historical Data'!G38/'Historical Data'!G37)</f>
        <v>-7.3948768964133396E-2</v>
      </c>
      <c r="H37" s="4">
        <f>LN('Historical Data'!H38/'Historical Data'!H37)</f>
        <v>-2.4591492348636026E-2</v>
      </c>
      <c r="I37" s="4">
        <f>LN('Historical Data'!I38/'Historical Data'!I37)</f>
        <v>5.4674179307856619E-2</v>
      </c>
      <c r="J37" s="4">
        <f>LN('Historical Data'!J38/'Historical Data'!J37)</f>
        <v>3.0102138591932014E-2</v>
      </c>
      <c r="K37" s="4">
        <f>LN('Historical Data'!K38/'Historical Data'!K37)</f>
        <v>-3.5588235471399533E-2</v>
      </c>
    </row>
    <row r="38" spans="1:11">
      <c r="A38" s="8">
        <v>45139</v>
      </c>
      <c r="B38" s="4">
        <f>LN('Historical Data'!B39/'Historical Data'!B38)</f>
        <v>-9.1509863423703222E-2</v>
      </c>
      <c r="C38" s="4">
        <f>LN('Historical Data'!C39/'Historical Data'!C38)</f>
        <v>-8.2194624071487962E-2</v>
      </c>
      <c r="D38" s="4">
        <f>LN('Historical Data'!D39/'Historical Data'!D38)</f>
        <v>-0.10538582429865745</v>
      </c>
      <c r="E38" s="4">
        <f>LN('Historical Data'!E39/'Historical Data'!E38)</f>
        <v>-3.977660188458601E-2</v>
      </c>
      <c r="F38" s="4">
        <f>LN('Historical Data'!F39/'Historical Data'!F38)</f>
        <v>-4.1388584008433191E-2</v>
      </c>
      <c r="G38" s="4">
        <f>LN('Historical Data'!G39/'Historical Data'!G38)</f>
        <v>1.4494695303634371E-2</v>
      </c>
      <c r="H38" s="4">
        <f>LN('Historical Data'!H39/'Historical Data'!H38)</f>
        <v>-3.5215879626693258E-2</v>
      </c>
      <c r="I38" s="4">
        <f>LN('Historical Data'!I39/'Historical Data'!I38)</f>
        <v>-0.12630114911429197</v>
      </c>
      <c r="J38" s="4">
        <f>LN('Historical Data'!J39/'Historical Data'!J38)</f>
        <v>-0.12805238791942097</v>
      </c>
      <c r="K38" s="4">
        <f>LN('Historical Data'!K39/'Historical Data'!K38)</f>
        <v>-3.0929083487644692E-2</v>
      </c>
    </row>
    <row r="39" spans="1:11">
      <c r="A39" s="8">
        <v>45170</v>
      </c>
      <c r="B39" s="4">
        <f>LN('Historical Data'!B40/'Historical Data'!B39)</f>
        <v>-2.5730615333689304E-3</v>
      </c>
      <c r="C39" s="4">
        <f>LN('Historical Data'!C40/'Historical Data'!C39)</f>
        <v>4.5894068870004315E-2</v>
      </c>
      <c r="D39" s="4">
        <f>LN('Historical Data'!D40/'Historical Data'!D39)</f>
        <v>1.8338872400862891E-2</v>
      </c>
      <c r="E39" s="4">
        <f>LN('Historical Data'!E40/'Historical Data'!E39)</f>
        <v>-5.3201071807852718E-2</v>
      </c>
      <c r="F39" s="4">
        <f>LN('Historical Data'!F40/'Historical Data'!F39)</f>
        <v>-5.0667569234192182E-2</v>
      </c>
      <c r="G39" s="4">
        <f>LN('Historical Data'!G40/'Historical Data'!G39)</f>
        <v>3.5242899079188043E-3</v>
      </c>
      <c r="H39" s="4">
        <f>LN('Historical Data'!H40/'Historical Data'!H39)</f>
        <v>6.8420410730397105E-2</v>
      </c>
      <c r="I39" s="4">
        <f>LN('Historical Data'!I40/'Historical Data'!I39)</f>
        <v>-6.4463866729323985E-2</v>
      </c>
      <c r="J39" s="4">
        <f>LN('Historical Data'!J40/'Historical Data'!J39)</f>
        <v>-2.407961914415124E-2</v>
      </c>
      <c r="K39" s="4">
        <f>LN('Historical Data'!K40/'Historical Data'!K39)</f>
        <v>-0.21983195972274922</v>
      </c>
    </row>
    <row r="40" spans="1:11">
      <c r="A40" s="8">
        <v>45200</v>
      </c>
      <c r="B40" s="4">
        <f>LN('Historical Data'!B41/'Historical Data'!B40)</f>
        <v>0.10644292946628002</v>
      </c>
      <c r="C40" s="4">
        <f>LN('Historical Data'!C41/'Historical Data'!C40)</f>
        <v>9.3197279045957968E-2</v>
      </c>
      <c r="D40" s="4">
        <f>LN('Historical Data'!D41/'Historical Data'!D40)</f>
        <v>9.555118513669858E-2</v>
      </c>
      <c r="E40" s="4">
        <f>LN('Historical Data'!E41/'Historical Data'!E40)</f>
        <v>6.5882358232858734E-2</v>
      </c>
      <c r="F40" s="4">
        <f>LN('Historical Data'!F41/'Historical Data'!F40)</f>
        <v>9.6384505247690822E-2</v>
      </c>
      <c r="G40" s="4">
        <f>LN('Historical Data'!G41/'Historical Data'!G40)</f>
        <v>8.2412118939687987E-2</v>
      </c>
      <c r="H40" s="4">
        <f>LN('Historical Data'!H41/'Historical Data'!H40)</f>
        <v>0.11392750699485865</v>
      </c>
      <c r="I40" s="4">
        <f>LN('Historical Data'!I41/'Historical Data'!I40)</f>
        <v>0.13705016797976891</v>
      </c>
      <c r="J40" s="4">
        <f>LN('Historical Data'!J41/'Historical Data'!J40)</f>
        <v>0.12044678645848823</v>
      </c>
      <c r="K40" s="4">
        <f>LN('Historical Data'!K41/'Historical Data'!K40)</f>
        <v>0.17846362996560694</v>
      </c>
    </row>
    <row r="41" spans="1:11">
      <c r="A41" s="8">
        <v>45231</v>
      </c>
      <c r="B41" s="4">
        <f>LN('Historical Data'!B42/'Historical Data'!B41)</f>
        <v>1.4807885558457926E-2</v>
      </c>
      <c r="C41" s="4">
        <f>LN('Historical Data'!C42/'Historical Data'!C41)</f>
        <v>3.9262835930652829E-2</v>
      </c>
      <c r="D41" s="4">
        <f>LN('Historical Data'!D42/'Historical Data'!D41)</f>
        <v>0.18714758378342786</v>
      </c>
      <c r="E41" s="4">
        <f>LN('Historical Data'!E42/'Historical Data'!E41)</f>
        <v>5.2616966541287453E-2</v>
      </c>
      <c r="F41" s="4">
        <f>LN('Historical Data'!F42/'Historical Data'!F41)</f>
        <v>3.0180422259170208E-2</v>
      </c>
      <c r="G41" s="4">
        <f>LN('Historical Data'!G42/'Historical Data'!G41)</f>
        <v>7.876502002976328E-2</v>
      </c>
      <c r="H41" s="4">
        <f>LN('Historical Data'!H42/'Historical Data'!H41)</f>
        <v>-5.5756156884544505E-3</v>
      </c>
      <c r="I41" s="4">
        <f>LN('Historical Data'!I42/'Historical Data'!I41)</f>
        <v>5.7175065231845734E-2</v>
      </c>
      <c r="J41" s="4">
        <f>LN('Historical Data'!J42/'Historical Data'!J41)</f>
        <v>-9.7351841942483308E-2</v>
      </c>
      <c r="K41" s="4">
        <f>LN('Historical Data'!K42/'Historical Data'!K41)</f>
        <v>3.439015826826522E-2</v>
      </c>
    </row>
    <row r="42" spans="1:11">
      <c r="A42" s="8">
        <v>45261</v>
      </c>
      <c r="B42" s="4">
        <f>LN('Historical Data'!B43/'Historical Data'!B42)</f>
        <v>-4.3144957906549132E-2</v>
      </c>
      <c r="C42" s="4">
        <f>LN('Historical Data'!C43/'Historical Data'!C42)</f>
        <v>2.1228901674042767E-2</v>
      </c>
      <c r="D42" s="4">
        <f>LN('Historical Data'!D43/'Historical Data'!D42)</f>
        <v>6.0126842437214202E-2</v>
      </c>
      <c r="E42" s="4">
        <f>LN('Historical Data'!E43/'Historical Data'!E42)</f>
        <v>2.9301123803818375E-3</v>
      </c>
      <c r="F42" s="4">
        <f>LN('Historical Data'!F43/'Historical Data'!F42)</f>
        <v>5.1899228156258442E-2</v>
      </c>
      <c r="G42" s="4">
        <f>LN('Historical Data'!G43/'Historical Data'!G42)</f>
        <v>9.7321668426132601E-2</v>
      </c>
      <c r="H42" s="4">
        <f>LN('Historical Data'!H43/'Historical Data'!H42)</f>
        <v>5.5700700580903331E-2</v>
      </c>
      <c r="I42" s="4">
        <f>LN('Historical Data'!I43/'Historical Data'!I42)</f>
        <v>0.2171470858522099</v>
      </c>
      <c r="J42" s="4">
        <f>LN('Historical Data'!J43/'Historical Data'!J42)</f>
        <v>5.7769965221998926E-2</v>
      </c>
      <c r="K42" s="4">
        <f>LN('Historical Data'!K43/'Historical Data'!K42)</f>
        <v>-0.28270414165861452</v>
      </c>
    </row>
    <row r="43" spans="1:11">
      <c r="A43" s="8">
        <v>45292</v>
      </c>
      <c r="B43" s="4">
        <f>LN('Historical Data'!B44/'Historical Data'!B43)</f>
        <v>-1.9992689868358709E-2</v>
      </c>
      <c r="C43" s="4">
        <f>LN('Historical Data'!C44/'Historical Data'!C43)</f>
        <v>0.1300782725134208</v>
      </c>
      <c r="D43" s="4">
        <f>LN('Historical Data'!D44/'Historical Data'!D43)</f>
        <v>9.7227178204067247E-2</v>
      </c>
      <c r="E43" s="4">
        <f>LN('Historical Data'!E44/'Historical Data'!E43)</f>
        <v>-1.1774499410360764E-2</v>
      </c>
      <c r="F43" s="4">
        <f>LN('Historical Data'!F44/'Historical Data'!F43)</f>
        <v>5.6849523171375725E-2</v>
      </c>
      <c r="G43" s="4">
        <f>LN('Historical Data'!G44/'Historical Data'!G43)</f>
        <v>0.22816509890920028</v>
      </c>
      <c r="H43" s="4">
        <f>LN('Historical Data'!H44/'Historical Data'!H43)</f>
        <v>3.959990358943765E-2</v>
      </c>
      <c r="I43" s="4">
        <f>LN('Historical Data'!I44/'Historical Data'!I43)</f>
        <v>0.25138848615801102</v>
      </c>
      <c r="J43" s="4">
        <f>LN('Historical Data'!J44/'Historical Data'!J43)</f>
        <v>3.6879190645804439E-3</v>
      </c>
      <c r="K43" s="4">
        <f>LN('Historical Data'!K44/'Historical Data'!K43)</f>
        <v>7.5015243730299289E-2</v>
      </c>
    </row>
    <row r="44" spans="1:11">
      <c r="A44" s="8">
        <v>45323</v>
      </c>
      <c r="B44" s="4">
        <f>LN('Historical Data'!B45/'Historical Data'!B44)</f>
        <v>-5.1372436126996636E-2</v>
      </c>
      <c r="C44" s="4">
        <f>LN('Historical Data'!C45/'Historical Data'!C44)</f>
        <v>2.0272856475022888E-2</v>
      </c>
      <c r="D44" s="4">
        <f>LN('Historical Data'!D45/'Historical Data'!D44)</f>
        <v>1.8980548516391294E-2</v>
      </c>
      <c r="E44" s="4">
        <f>LN('Historical Data'!E45/'Historical Data'!E44)</f>
        <v>8.6234110240620193E-2</v>
      </c>
      <c r="F44" s="4">
        <f>LN('Historical Data'!F45/'Historical Data'!F44)</f>
        <v>1.4241837560920054E-2</v>
      </c>
      <c r="G44" s="4">
        <f>LN('Historical Data'!G45/'Historical Data'!G44)</f>
        <v>-8.2662160190054342E-3</v>
      </c>
      <c r="H44" s="4">
        <f>LN('Historical Data'!H45/'Historical Data'!H44)</f>
        <v>1.8819120395825964E-2</v>
      </c>
      <c r="I44" s="4">
        <f>LN('Historical Data'!I45/'Historical Data'!I44)</f>
        <v>0.13289289689031697</v>
      </c>
      <c r="J44" s="4">
        <f>LN('Historical Data'!J45/'Historical Data'!J44)</f>
        <v>0.11754440717623406</v>
      </c>
      <c r="K44" s="4">
        <f>LN('Historical Data'!K45/'Historical Data'!K44)</f>
        <v>-0.13838336066026199</v>
      </c>
    </row>
    <row r="45" spans="1:11">
      <c r="A45" s="8">
        <v>45352</v>
      </c>
      <c r="B45" s="4">
        <f>LN('Historical Data'!B46/'Historical Data'!B45)</f>
        <v>-6.7289048227977804E-3</v>
      </c>
      <c r="C45" s="4">
        <f>LN('Historical Data'!C46/'Historical Data'!C45)</f>
        <v>-3.0279762814048001E-2</v>
      </c>
      <c r="D45" s="4">
        <f>LN('Historical Data'!D46/'Historical Data'!D45)</f>
        <v>-1.4899878856964232E-2</v>
      </c>
      <c r="E45" s="4">
        <f>LN('Historical Data'!E46/'Historical Data'!E45)</f>
        <v>7.5583905512683666E-2</v>
      </c>
      <c r="F45" s="4">
        <f>LN('Historical Data'!F46/'Historical Data'!F45)</f>
        <v>-6.5140780328364192E-2</v>
      </c>
      <c r="G45" s="4">
        <f>LN('Historical Data'!G46/'Historical Data'!G45)</f>
        <v>-0.12116349554822556</v>
      </c>
      <c r="H45" s="4">
        <f>LN('Historical Data'!H46/'Historical Data'!H45)</f>
        <v>-7.754035269129618E-2</v>
      </c>
      <c r="I45" s="4">
        <f>LN('Historical Data'!I46/'Historical Data'!I45)</f>
        <v>-4.4699830913124336E-2</v>
      </c>
      <c r="J45" s="4">
        <f>LN('Historical Data'!J46/'Historical Data'!J45)</f>
        <v>-9.9178971444972758E-2</v>
      </c>
      <c r="K45" s="4">
        <f>LN('Historical Data'!K46/'Historical Data'!K45)</f>
        <v>4.172493733344055E-2</v>
      </c>
    </row>
    <row r="46" spans="1:11">
      <c r="A46" s="8">
        <v>45383</v>
      </c>
      <c r="B46" s="4">
        <f>LN('Historical Data'!B47/'Historical Data'!B46)</f>
        <v>0.1210587863632492</v>
      </c>
      <c r="C46" s="4">
        <f>LN('Historical Data'!C47/'Historical Data'!C46)</f>
        <v>8.1949013132249712E-3</v>
      </c>
      <c r="D46" s="4">
        <f>LN('Historical Data'!D47/'Historical Data'!D46)</f>
        <v>2.1516050536095385E-2</v>
      </c>
      <c r="E46" s="4">
        <f>LN('Historical Data'!E47/'Historical Data'!E46)</f>
        <v>5.7997520517486773E-2</v>
      </c>
      <c r="F46" s="4">
        <f>LN('Historical Data'!F47/'Historical Data'!F46)</f>
        <v>-7.8113731298553608E-3</v>
      </c>
      <c r="G46" s="4">
        <f>LN('Historical Data'!G47/'Historical Data'!G46)</f>
        <v>8.1784588705714423E-2</v>
      </c>
      <c r="H46" s="4">
        <f>LN('Historical Data'!H47/'Historical Data'!H46)</f>
        <v>6.416452814699293E-2</v>
      </c>
      <c r="I46" s="4">
        <f>LN('Historical Data'!I47/'Historical Data'!I46)</f>
        <v>0.23812762950743169</v>
      </c>
      <c r="J46" s="4">
        <f>LN('Historical Data'!J47/'Historical Data'!J46)</f>
        <v>3.3015574507320136E-2</v>
      </c>
      <c r="K46" s="4">
        <f>LN('Historical Data'!K47/'Historical Data'!K46)</f>
        <v>-2.8782150618005268E-2</v>
      </c>
    </row>
    <row r="47" spans="1:11">
      <c r="A47" s="8">
        <v>45413</v>
      </c>
      <c r="B47" s="4">
        <f>LN('Historical Data'!B48/'Historical Data'!B47)</f>
        <v>9.2614080821329867E-2</v>
      </c>
      <c r="C47" s="4">
        <f>LN('Historical Data'!C48/'Historical Data'!C47)</f>
        <v>9.1003812230792416E-2</v>
      </c>
      <c r="D47" s="4">
        <f>LN('Historical Data'!D48/'Historical Data'!D47)</f>
        <v>0.18936557968972126</v>
      </c>
      <c r="E47" s="4">
        <f>LN('Historical Data'!E48/'Historical Data'!E47)</f>
        <v>5.4433293071800067E-2</v>
      </c>
      <c r="F47" s="4">
        <f>LN('Historical Data'!F48/'Historical Data'!F47)</f>
        <v>-1.3307433172125922E-2</v>
      </c>
      <c r="G47" s="4">
        <f>LN('Historical Data'!G48/'Historical Data'!G47)</f>
        <v>7.7047636984031068E-2</v>
      </c>
      <c r="H47" s="4">
        <f>LN('Historical Data'!H48/'Historical Data'!H47)</f>
        <v>7.565711276367755E-2</v>
      </c>
      <c r="I47" s="4">
        <f>LN('Historical Data'!I48/'Historical Data'!I47)</f>
        <v>0.11942670510430242</v>
      </c>
      <c r="J47" s="4">
        <f>LN('Historical Data'!J48/'Historical Data'!J47)</f>
        <v>0.18638059482348956</v>
      </c>
      <c r="K47" s="4">
        <f>LN('Historical Data'!K48/'Historical Data'!K47)</f>
        <v>0.10542789883227302</v>
      </c>
    </row>
    <row r="48" spans="1:11">
      <c r="A48" s="8">
        <v>45444</v>
      </c>
      <c r="B48" s="4">
        <f>LN('Historical Data'!B49/'Historical Data'!B48)</f>
        <v>5.2982467636896319E-2</v>
      </c>
      <c r="C48" s="4">
        <f>LN('Historical Data'!C49/'Historical Data'!C48)</f>
        <v>-3.2983028204361768E-2</v>
      </c>
      <c r="D48" s="4">
        <f>LN('Historical Data'!D49/'Historical Data'!D48)</f>
        <v>3.9612319091233061E-3</v>
      </c>
      <c r="E48" s="4">
        <f>LN('Historical Data'!E49/'Historical Data'!E48)</f>
        <v>-5.8867034034286052E-2</v>
      </c>
      <c r="F48" s="4">
        <f>LN('Historical Data'!F49/'Historical Data'!F48)</f>
        <v>4.9851534670772961E-2</v>
      </c>
      <c r="G48" s="4">
        <f>LN('Historical Data'!G49/'Historical Data'!G48)</f>
        <v>-5.906352286096573E-2</v>
      </c>
      <c r="H48" s="4">
        <f>LN('Historical Data'!H49/'Historical Data'!H48)</f>
        <v>-6.6128295162811698E-2</v>
      </c>
      <c r="I48" s="4">
        <f>LN('Historical Data'!I49/'Historical Data'!I48)</f>
        <v>-5.4138578147419666E-2</v>
      </c>
      <c r="J48" s="4">
        <f>LN('Historical Data'!J49/'Historical Data'!J48)</f>
        <v>-1.2471136235338492E-2</v>
      </c>
      <c r="K48" s="4">
        <f>LN('Historical Data'!K49/'Historical Data'!K48)</f>
        <v>0.15937826393515947</v>
      </c>
    </row>
    <row r="49" spans="1:12">
      <c r="A49" s="8">
        <v>45474</v>
      </c>
      <c r="B49" s="4">
        <f>LN('Historical Data'!B50/'Historical Data'!B49)</f>
        <v>3.068396921024014E-2</v>
      </c>
      <c r="C49" s="4">
        <f>LN('Historical Data'!C50/'Historical Data'!C49)</f>
        <v>-4.6413058043475758E-2</v>
      </c>
      <c r="D49" s="4">
        <f>LN('Historical Data'!D50/'Historical Data'!D49)</f>
        <v>1.3230060830966475E-2</v>
      </c>
      <c r="E49" s="4">
        <f>LN('Historical Data'!E50/'Historical Data'!E49)</f>
        <v>-4.8737662183776335E-2</v>
      </c>
      <c r="F49" s="4">
        <f>LN('Historical Data'!F50/'Historical Data'!F49)</f>
        <v>4.2941192675674547E-2</v>
      </c>
      <c r="G49" s="4">
        <f>LN('Historical Data'!G50/'Historical Data'!G49)</f>
        <v>9.3387938880244464E-2</v>
      </c>
      <c r="H49" s="4">
        <f>LN('Historical Data'!H50/'Historical Data'!H49)</f>
        <v>-2.8966923351103767E-3</v>
      </c>
      <c r="I49" s="4">
        <f>LN('Historical Data'!I50/'Historical Data'!I49)</f>
        <v>1.9883686113447131E-2</v>
      </c>
      <c r="J49" s="4">
        <f>LN('Historical Data'!J50/'Historical Data'!J49)</f>
        <v>1.5927339377539446E-2</v>
      </c>
      <c r="K49" s="4">
        <f>LN('Historical Data'!K50/'Historical Data'!K49)</f>
        <v>-8.0549148643581495E-2</v>
      </c>
    </row>
    <row r="50" spans="1:12">
      <c r="A50" s="8">
        <v>45505</v>
      </c>
      <c r="B50" s="4">
        <f>LN('Historical Data'!B51/'Historical Data'!B50)</f>
        <v>1.8473262923187156E-2</v>
      </c>
      <c r="C50" s="4">
        <f>LN('Historical Data'!C51/'Historical Data'!C50)</f>
        <v>4.2930694019627513E-2</v>
      </c>
      <c r="D50" s="4">
        <f>LN('Historical Data'!D51/'Historical Data'!D50)</f>
        <v>5.7752199032609211E-2</v>
      </c>
      <c r="E50" s="4">
        <f>LN('Historical Data'!E51/'Historical Data'!E50)</f>
        <v>1.5005011935107027E-2</v>
      </c>
      <c r="F50" s="4">
        <f>LN('Historical Data'!F51/'Historical Data'!F50)</f>
        <v>2.1410164808637687E-2</v>
      </c>
      <c r="G50" s="4">
        <f>LN('Historical Data'!G51/'Historical Data'!G50)</f>
        <v>9.3563141858780313E-2</v>
      </c>
      <c r="H50" s="4">
        <f>LN('Historical Data'!H51/'Historical Data'!H50)</f>
        <v>3.2861651968684527E-2</v>
      </c>
      <c r="I50" s="4">
        <f>LN('Historical Data'!I51/'Historical Data'!I50)</f>
        <v>1.7192152936688566E-2</v>
      </c>
      <c r="J50" s="4">
        <f>LN('Historical Data'!J51/'Historical Data'!J50)</f>
        <v>0.18733447771846443</v>
      </c>
      <c r="K50" s="4">
        <f>LN('Historical Data'!K51/'Historical Data'!K50)</f>
        <v>0.20044139025591809</v>
      </c>
    </row>
    <row r="51" spans="1:12">
      <c r="A51" s="8">
        <v>45536</v>
      </c>
      <c r="B51" s="4">
        <f>LN('Historical Data'!B52/'Historical Data'!B51)</f>
        <v>-3.090152026798262E-2</v>
      </c>
      <c r="C51" s="4">
        <f>LN('Historical Data'!C52/'Historical Data'!C51)</f>
        <v>3.7560701216951986E-4</v>
      </c>
      <c r="D51" s="4">
        <f>LN('Historical Data'!D52/'Historical Data'!D51)</f>
        <v>-1.2669144532561731E-2</v>
      </c>
      <c r="E51" s="4">
        <f>LN('Historical Data'!E52/'Historical Data'!E51)</f>
        <v>3.2548791882411866E-2</v>
      </c>
      <c r="F51" s="4">
        <f>LN('Historical Data'!F52/'Historical Data'!F51)</f>
        <v>1.1657227709234271E-2</v>
      </c>
      <c r="G51" s="4">
        <f>LN('Historical Data'!G52/'Historical Data'!G51)</f>
        <v>-7.5725150984857336E-3</v>
      </c>
      <c r="H51" s="4">
        <f>LN('Historical Data'!H52/'Historical Data'!H51)</f>
        <v>-5.7267694658911489E-2</v>
      </c>
      <c r="I51" s="4">
        <f>LN('Historical Data'!I52/'Historical Data'!I51)</f>
        <v>8.9208670987409852E-2</v>
      </c>
      <c r="J51" s="4">
        <f>LN('Historical Data'!J52/'Historical Data'!J51)</f>
        <v>-1.5137462385631574E-2</v>
      </c>
      <c r="K51" s="4">
        <f>LN('Historical Data'!K52/'Historical Data'!K51)</f>
        <v>-4.6070554116789973E-2</v>
      </c>
    </row>
    <row r="52" spans="1:12">
      <c r="A52" s="8">
        <v>45566</v>
      </c>
      <c r="B52" s="4">
        <f>LN('Historical Data'!B53/'Historical Data'!B52)</f>
        <v>4.9314895158928958E-2</v>
      </c>
      <c r="C52" s="4">
        <f>LN('Historical Data'!C53/'Historical Data'!C52)</f>
        <v>0.1091141914075318</v>
      </c>
      <c r="D52" s="4">
        <f>LN('Historical Data'!D53/'Historical Data'!D52)</f>
        <v>-4.6354474072232837E-2</v>
      </c>
      <c r="E52" s="4">
        <f>LN('Historical Data'!E53/'Historical Data'!E52)</f>
        <v>-1.2703716289766747E-2</v>
      </c>
      <c r="F52" s="4">
        <f>LN('Historical Data'!F53/'Historical Data'!F52)</f>
        <v>6.5949681456610135E-2</v>
      </c>
      <c r="G52" s="4">
        <f>LN('Historical Data'!G53/'Historical Data'!G52)</f>
        <v>1.1804893708297072E-2</v>
      </c>
      <c r="H52" s="4">
        <f>LN('Historical Data'!H53/'Historical Data'!H52)</f>
        <v>4.1244188219432196E-2</v>
      </c>
      <c r="I52" s="4">
        <f>LN('Historical Data'!I53/'Historical Data'!I52)</f>
        <v>4.052044667082088E-2</v>
      </c>
      <c r="J52" s="4">
        <f>LN('Historical Data'!J53/'Historical Data'!J52)</f>
        <v>9.8725366541661544E-2</v>
      </c>
      <c r="K52" s="4">
        <f>LN('Historical Data'!K53/'Historical Data'!K52)</f>
        <v>0.32314733984989286</v>
      </c>
    </row>
    <row r="53" spans="1:12">
      <c r="A53" s="8">
        <v>45597</v>
      </c>
      <c r="B53" s="4">
        <f>LN('Historical Data'!B54/'Historical Data'!B53)</f>
        <v>5.4787533346067847E-2</v>
      </c>
      <c r="C53" s="4">
        <f>LN('Historical Data'!C54/'Historical Data'!C53)</f>
        <v>5.3841874291946805E-2</v>
      </c>
      <c r="D53" s="4">
        <f>LN('Historical Data'!D54/'Historical Data'!D53)</f>
        <v>0.35795762597005215</v>
      </c>
      <c r="E53" s="4">
        <f>LN('Historical Data'!E54/'Historical Data'!E53)</f>
        <v>0.11373050870199757</v>
      </c>
      <c r="F53" s="4">
        <f>LN('Historical Data'!F54/'Historical Data'!F53)</f>
        <v>-1.2024553658868063E-2</v>
      </c>
      <c r="G53" s="4">
        <f>LN('Historical Data'!G54/'Historical Data'!G53)</f>
        <v>1.929648710352258E-2</v>
      </c>
      <c r="H53" s="4">
        <f>LN('Historical Data'!H54/'Historical Data'!H53)</f>
        <v>-2.6396642276690797E-3</v>
      </c>
      <c r="I53" s="4">
        <f>LN('Historical Data'!I54/'Historical Data'!I53)</f>
        <v>-2.9062255247423743E-2</v>
      </c>
      <c r="J53" s="4">
        <f>LN('Historical Data'!J54/'Historical Data'!J53)</f>
        <v>-0.10365444371966073</v>
      </c>
      <c r="K53" s="4">
        <f>LN('Historical Data'!K54/'Historical Data'!K53)</f>
        <v>0.15701068227268675</v>
      </c>
    </row>
    <row r="54" spans="1:12">
      <c r="A54" s="8">
        <v>45627</v>
      </c>
      <c r="B54" s="4">
        <f>LN('Historical Data'!B55/'Historical Data'!B54)</f>
        <v>-5.9307734052308728E-2</v>
      </c>
      <c r="C54" s="4">
        <f>LN('Historical Data'!C55/'Historical Data'!C54)</f>
        <v>8.0074263203382873E-2</v>
      </c>
      <c r="D54" s="4">
        <f>LN('Historical Data'!D55/'Historical Data'!D54)</f>
        <v>-4.3988312940377625E-2</v>
      </c>
      <c r="E54" s="4">
        <f>LN('Historical Data'!E55/'Historical Data'!E54)</f>
        <v>7.6030048629823127E-2</v>
      </c>
      <c r="F54" s="4">
        <f>LN('Historical Data'!F55/'Historical Data'!F54)</f>
        <v>5.3358623794751016E-2</v>
      </c>
      <c r="G54" s="4">
        <f>LN('Historical Data'!G55/'Historical Data'!G54)</f>
        <v>0.16382550758638034</v>
      </c>
      <c r="H54" s="4">
        <f>LN('Historical Data'!H55/'Historical Data'!H54)</f>
        <v>-1.5396914910852239E-2</v>
      </c>
      <c r="I54" s="4">
        <f>LN('Historical Data'!I55/'Historical Data'!I54)</f>
        <v>-0.11185739729623077</v>
      </c>
      <c r="J54" s="4">
        <f>LN('Historical Data'!J55/'Historical Data'!J54)</f>
        <v>2.0315404748587101E-2</v>
      </c>
      <c r="K54" s="4">
        <f>LN('Historical Data'!K55/'Historical Data'!K54)</f>
        <v>1.8801648208516136E-3</v>
      </c>
    </row>
    <row r="55" spans="1:12">
      <c r="A55" s="8">
        <v>45658</v>
      </c>
      <c r="B55" s="4">
        <f>LN('Historical Data'!B56/'Historical Data'!B55)</f>
        <v>2.4444370175878357E-2</v>
      </c>
      <c r="C55" s="4">
        <f>LN('Historical Data'!C56/'Historical Data'!C55)</f>
        <v>-0.11301907319465797</v>
      </c>
      <c r="D55" s="4">
        <f>LN('Historical Data'!D56/'Historical Data'!D55)</f>
        <v>-0.10392024639692474</v>
      </c>
      <c r="E55" s="4">
        <f>LN('Historical Data'!E56/'Historical Data'!E55)</f>
        <v>-0.18077355882844928</v>
      </c>
      <c r="F55" s="4">
        <f>LN('Historical Data'!F56/'Historical Data'!F55)</f>
        <v>3.8375599098080644E-2</v>
      </c>
      <c r="G55" s="4">
        <f>LN('Historical Data'!G56/'Historical Data'!G55)</f>
        <v>-3.0914794434586994E-2</v>
      </c>
      <c r="H55" s="4">
        <f>LN('Historical Data'!H56/'Historical Data'!H55)</f>
        <v>-4.4511876139467256E-2</v>
      </c>
      <c r="I55" s="4">
        <f>LN('Historical Data'!I56/'Historical Data'!I55)</f>
        <v>3.959826013835592E-2</v>
      </c>
      <c r="J55" s="4">
        <f>LN('Historical Data'!J56/'Historical Data'!J55)</f>
        <v>-2.1347459161905852E-2</v>
      </c>
      <c r="K55" s="4">
        <f>LN('Historical Data'!K56/'Historical Data'!K55)</f>
        <v>-0.32279457743202117</v>
      </c>
    </row>
    <row r="56" spans="1:12">
      <c r="A56" s="8">
        <v>45689</v>
      </c>
      <c r="B56" s="4">
        <f>LN('Historical Data'!B57/'Historical Data'!B56)</f>
        <v>-8.3914619440841831E-2</v>
      </c>
      <c r="C56" s="4">
        <f>LN('Historical Data'!C57/'Historical Data'!C56)</f>
        <v>-0.10951460018138329</v>
      </c>
      <c r="D56" s="4">
        <f>LN('Historical Data'!D57/'Historical Data'!D56)</f>
        <v>-0.17489789472231479</v>
      </c>
      <c r="E56" s="4">
        <f>LN('Historical Data'!E57/'Historical Data'!E56)</f>
        <v>-9.6344435143580889E-2</v>
      </c>
      <c r="F56" s="4">
        <f>LN('Historical Data'!F57/'Historical Data'!F56)</f>
        <v>-5.0151530248652619E-2</v>
      </c>
      <c r="G56" s="4">
        <f>LN('Historical Data'!G57/'Historical Data'!G56)</f>
        <v>-0.14785526247666125</v>
      </c>
      <c r="H56" s="4">
        <f>LN('Historical Data'!H57/'Historical Data'!H56)</f>
        <v>-5.394230591827405E-2</v>
      </c>
      <c r="I56" s="4">
        <f>LN('Historical Data'!I57/'Historical Data'!I56)</f>
        <v>-0.14202997527938754</v>
      </c>
      <c r="J56" s="4">
        <f>LN('Historical Data'!J57/'Historical Data'!J56)</f>
        <v>-0.17206436574276479</v>
      </c>
      <c r="K56" s="4">
        <f>LN('Historical Data'!K57/'Historical Data'!K56)</f>
        <v>-0.12265871571986731</v>
      </c>
    </row>
    <row r="57" spans="1:12">
      <c r="A57" s="8">
        <v>45717</v>
      </c>
      <c r="B57" s="4">
        <f>LN('Historical Data'!B58/'Historical Data'!B57)</f>
        <v>-4.4320876874360447E-2</v>
      </c>
      <c r="C57" s="4">
        <f>LN('Historical Data'!C58/'Historical Data'!C57)</f>
        <v>-3.117579266731578E-2</v>
      </c>
      <c r="D57" s="4">
        <f>LN('Historical Data'!D58/'Historical Data'!D57)</f>
        <v>0.14239614624617514</v>
      </c>
      <c r="E57" s="4">
        <f>LN('Historical Data'!E58/'Historical Data'!E57)</f>
        <v>2.7696891217681978E-2</v>
      </c>
      <c r="F57" s="4">
        <f>LN('Historical Data'!F58/'Historical Data'!F57)</f>
        <v>-1.0920509148451579E-4</v>
      </c>
      <c r="G57" s="4">
        <f>LN('Historical Data'!G58/'Historical Data'!G57)</f>
        <v>-4.7744663198005764E-2</v>
      </c>
      <c r="H57" s="4">
        <f>LN('Historical Data'!H58/'Historical Data'!H57)</f>
        <v>5.1578187367982753E-2</v>
      </c>
      <c r="I57" s="4">
        <f>LN('Historical Data'!I58/'Historical Data'!I57)</f>
        <v>5.0620854316162254E-3</v>
      </c>
      <c r="J57" s="4">
        <f>LN('Historical Data'!J58/'Historical Data'!J57)</f>
        <v>6.4873633877675996E-3</v>
      </c>
      <c r="K57" s="4">
        <f>LN('Historical Data'!K58/'Historical Data'!K57)</f>
        <v>8.5028654346040039E-2</v>
      </c>
    </row>
    <row r="58" spans="1:12">
      <c r="A58" s="8">
        <v>45748</v>
      </c>
      <c r="B58" s="4">
        <f>LN('Historical Data'!B59/'Historical Data'!B58)</f>
        <v>-5.6383367673479748E-2</v>
      </c>
      <c r="C58" s="4">
        <f>LN('Historical Data'!C59/'Historical Data'!C58)</f>
        <v>0.10584299332548866</v>
      </c>
      <c r="D58" s="4">
        <f>LN('Historical Data'!D59/'Historical Data'!D58)</f>
        <v>0.22928668885353229</v>
      </c>
      <c r="E58" s="4">
        <f>LN('Historical Data'!E59/'Historical Data'!E58)</f>
        <v>7.833610932493125E-2</v>
      </c>
      <c r="F58" s="4">
        <f>LN('Historical Data'!F59/'Historical Data'!F58)</f>
        <v>6.7836973067498363E-2</v>
      </c>
      <c r="G58" s="4">
        <f>LN('Historical Data'!G59/'Historical Data'!G58)</f>
        <v>0.16500491082838339</v>
      </c>
      <c r="H58" s="4">
        <f>LN('Historical Data'!H59/'Historical Data'!H58)</f>
        <v>0.15246488033430833</v>
      </c>
      <c r="I58" s="4">
        <f>LN('Historical Data'!I59/'Historical Data'!I58)</f>
        <v>0.21562358585006208</v>
      </c>
      <c r="J58" s="4">
        <f>LN('Historical Data'!J59/'Historical Data'!J58)</f>
        <v>0.16596642179740731</v>
      </c>
      <c r="K58" s="4">
        <f>LN('Historical Data'!K59/'Historical Data'!K58)</f>
        <v>0.20529308592299816</v>
      </c>
    </row>
    <row r="59" spans="1:12">
      <c r="A59" s="8">
        <v>45778</v>
      </c>
      <c r="B59" s="4">
        <f>LN('Historical Data'!B60/'Historical Data'!B59)</f>
        <v>2.259081457014863E-2</v>
      </c>
      <c r="C59" s="4">
        <f>LN('Historical Data'!C60/'Historical Data'!C59)</f>
        <v>6.7792209514485668E-2</v>
      </c>
      <c r="D59" s="4">
        <f>LN('Historical Data'!D60/'Historical Data'!D59)</f>
        <v>0.12990483651641627</v>
      </c>
      <c r="E59" s="4">
        <f>LN('Historical Data'!E60/'Historical Data'!E59)</f>
        <v>2.5807887672444109E-2</v>
      </c>
      <c r="F59" s="4">
        <f>LN('Historical Data'!F60/'Historical Data'!F59)</f>
        <v>-4.1241918587303777E-2</v>
      </c>
      <c r="G59" s="4">
        <f>LN('Historical Data'!G60/'Historical Data'!G59)</f>
        <v>0.13096244320498607</v>
      </c>
      <c r="H59" s="4">
        <f>LN('Historical Data'!H60/'Historical Data'!H59)</f>
        <v>7.9240193706366577E-2</v>
      </c>
      <c r="I59" s="4">
        <f>LN('Historical Data'!I60/'Historical Data'!I59)</f>
        <v>0.15629430925706592</v>
      </c>
      <c r="J59" s="4">
        <f>LN('Historical Data'!J60/'Historical Data'!J59)</f>
        <v>0.27822823612945036</v>
      </c>
      <c r="K59" s="4">
        <f>LN('Historical Data'!K60/'Historical Data'!K59)</f>
        <v>-8.678574344378566E-2</v>
      </c>
    </row>
    <row r="60" spans="1:12">
      <c r="A60" s="8">
        <v>45809</v>
      </c>
      <c r="B60" s="4">
        <f>LN('Historical Data'!B61/'Historical Data'!B60)</f>
        <v>1.1629829038112875E-2</v>
      </c>
      <c r="C60" s="4">
        <f>LN('Historical Data'!C61/'Historical Data'!C60)</f>
        <v>6.4940122421257351E-2</v>
      </c>
      <c r="D60" s="4">
        <f>LN('Historical Data'!D61/'Historical Data'!D60)</f>
        <v>6.5778202991614923E-2</v>
      </c>
      <c r="E60" s="4">
        <f>LN('Historical Data'!E61/'Historical Data'!E60)</f>
        <v>8.6394359386190833E-2</v>
      </c>
      <c r="F60" s="4">
        <f>LN('Historical Data'!F61/'Historical Data'!F60)</f>
        <v>8.029014177694414E-3</v>
      </c>
      <c r="G60" s="4">
        <f>LN('Historical Data'!G61/'Historical Data'!G60)</f>
        <v>4.7551402295751062E-2</v>
      </c>
      <c r="H60" s="4">
        <f>LN('Historical Data'!H61/'Historical Data'!H60)</f>
        <v>7.0044298596332141E-2</v>
      </c>
      <c r="I60" s="4">
        <f>LN('Historical Data'!I61/'Historical Data'!I60)</f>
        <v>0.11859094935910039</v>
      </c>
      <c r="J60" s="4">
        <f>LN('Historical Data'!J61/'Historical Data'!J60)</f>
        <v>0.14904735480651449</v>
      </c>
      <c r="K60" s="4">
        <f>LN('Historical Data'!K61/'Historical Data'!K60)</f>
        <v>-3.00056060666785E-2</v>
      </c>
    </row>
    <row r="61" spans="1:12">
      <c r="A61" s="8">
        <v>45839</v>
      </c>
      <c r="B61" s="4">
        <f>LN('Historical Data'!B62/'Historical Data'!B61)</f>
        <v>0.1118718004455873</v>
      </c>
      <c r="C61" s="4">
        <f>LN('Historical Data'!C62/'Historical Data'!C61)</f>
        <v>-2.2069086817987069E-2</v>
      </c>
      <c r="D61" s="4">
        <f>LN('Historical Data'!D62/'Historical Data'!D61)</f>
        <v>1.2485270109406874E-2</v>
      </c>
      <c r="E61" s="4">
        <f>LN('Historical Data'!E62/'Historical Data'!E61)</f>
        <v>0.10389502783124717</v>
      </c>
      <c r="F61" s="4">
        <f>LN('Historical Data'!F62/'Historical Data'!F61)</f>
        <v>5.0976663601983559E-2</v>
      </c>
      <c r="G61" s="4">
        <f>LN('Historical Data'!G62/'Historical Data'!G61)</f>
        <v>-4.5956121936437395E-2</v>
      </c>
      <c r="H61" s="4">
        <f>LN('Historical Data'!H62/'Historical Data'!H61)</f>
        <v>-5.1559697096131826E-2</v>
      </c>
      <c r="I61" s="4">
        <f>LN('Historical Data'!I62/'Historical Data'!I61)</f>
        <v>-2.0963741925078095E-2</v>
      </c>
      <c r="J61" s="4">
        <f>LN('Historical Data'!J62/'Historical Data'!J61)</f>
        <v>-0.11319539946525574</v>
      </c>
      <c r="K61" s="4">
        <f>LN('Historical Data'!K62/'Historical Data'!K61)</f>
        <v>7.9775673313112888E-2</v>
      </c>
    </row>
    <row r="62" spans="1:12">
      <c r="A62" s="8">
        <v>45870</v>
      </c>
      <c r="B62" s="4">
        <f>LN('Historical Data'!B63/'Historical Data'!B62)</f>
        <v>9.3605314940035864E-2</v>
      </c>
      <c r="C62" s="4">
        <f>LN('Historical Data'!C63/'Historical Data'!C62)</f>
        <v>-4.2050915272994226E-2</v>
      </c>
      <c r="D62" s="4">
        <f>LN('Historical Data'!D63/'Historical Data'!D62)</f>
        <v>0.10377556336566525</v>
      </c>
      <c r="E62" s="4">
        <f>LN('Historical Data'!E63/'Historical Data'!E62)</f>
        <v>0.13260368583841625</v>
      </c>
      <c r="F62" s="4">
        <f>LN('Historical Data'!F63/'Historical Data'!F62)</f>
        <v>-4.5502071748712646E-2</v>
      </c>
      <c r="G62" s="4">
        <f>LN('Historical Data'!G63/'Historical Data'!G62)</f>
        <v>-5.8652971497192338E-3</v>
      </c>
      <c r="H62" s="4">
        <f>LN('Historical Data'!H63/'Historical Data'!H62)</f>
        <v>2.3621924276929041E-2</v>
      </c>
      <c r="I62" s="4">
        <f>LN('Historical Data'!I63/'Historical Data'!I62)</f>
        <v>6.8770841774636007E-2</v>
      </c>
      <c r="J62" s="4">
        <f>LN('Historical Data'!J63/'Historical Data'!J62)</f>
        <v>0.21809820314316916</v>
      </c>
      <c r="K62" s="4">
        <f>LN('Historical Data'!K63/'Historical Data'!K62)</f>
        <v>0.28669317499177072</v>
      </c>
    </row>
    <row r="63" spans="1:12">
      <c r="A63" s="20">
        <v>45901</v>
      </c>
      <c r="B63" s="4">
        <f>LN('Historical Data'!B64/'Historical Data'!B63)</f>
        <v>-2.8602969676944572E-2</v>
      </c>
      <c r="C63" s="4">
        <f>LN('Historical Data'!C64/'Historical Data'!C63)</f>
        <v>-2.3501219834375267E-2</v>
      </c>
      <c r="D63" s="4">
        <f>LN('Historical Data'!D64/'Historical Data'!D63)</f>
        <v>7.2612593217592253E-2</v>
      </c>
      <c r="E63" s="4">
        <f>LN('Historical Data'!E64/'Historical Data'!E63)</f>
        <v>3.4704908697474966E-2</v>
      </c>
      <c r="F63" s="4">
        <f>LN('Historical Data'!F64/'Historical Data'!F63)</f>
        <v>-3.2527150379618827E-2</v>
      </c>
      <c r="G63" s="4">
        <f>LN('Historical Data'!G64/'Historical Data'!G63)</f>
        <v>-3.0175710620640162E-2</v>
      </c>
      <c r="H63" s="4">
        <f>LN('Historical Data'!H64/'Historical Data'!H63)</f>
        <v>-1.2316096469734869E-2</v>
      </c>
      <c r="I63" s="4">
        <f>LN('Historical Data'!I64/'Historical Data'!I63)</f>
        <v>-2.5841638089870434E-2</v>
      </c>
      <c r="J63" s="4">
        <f>LN('Historical Data'!J64/'Historical Data'!J63)</f>
        <v>0.10872862368549222</v>
      </c>
      <c r="K63" s="4">
        <f>LN('Historical Data'!K64/'Historical Data'!K63)</f>
        <v>-3.6570872165064397E-2</v>
      </c>
    </row>
    <row r="64" spans="1:12">
      <c r="A64" s="43" t="s">
        <v>12</v>
      </c>
      <c r="B64" s="22">
        <f>AVERAGE(B3:B63)</f>
        <v>1.2900316782046195E-2</v>
      </c>
      <c r="C64" s="22">
        <f t="shared" ref="C64:K64" si="0">AVERAGE(C3:C63)</f>
        <v>5.0679945259195069E-3</v>
      </c>
      <c r="D64" s="22">
        <f>AVERAGE(D3:D63)</f>
        <v>3.9274075328775727E-2</v>
      </c>
      <c r="E64" s="22">
        <f t="shared" si="0"/>
        <v>2.0325732292115716E-2</v>
      </c>
      <c r="F64" s="22">
        <f t="shared" si="0"/>
        <v>8.4529559807241667E-3</v>
      </c>
      <c r="G64" s="22">
        <f t="shared" si="0"/>
        <v>1.6497689856701678E-2</v>
      </c>
      <c r="H64" s="22">
        <f t="shared" si="0"/>
        <v>1.5261162452496113E-2</v>
      </c>
      <c r="I64" s="22">
        <f>AVERAGE(I3:I63)</f>
        <v>4.2645290557284936E-2</v>
      </c>
      <c r="J64" s="22">
        <f t="shared" si="0"/>
        <v>2.836942359865189E-2</v>
      </c>
      <c r="K64" s="23">
        <f t="shared" si="0"/>
        <v>1.8000103140384159E-2</v>
      </c>
      <c r="L64" s="23">
        <f>AVERAGE(B64:K64)</f>
        <v>2.067947445151001E-2</v>
      </c>
    </row>
    <row r="65" spans="1:12" ht="18.75">
      <c r="A65" s="21" t="s">
        <v>13</v>
      </c>
      <c r="B65" s="24">
        <f>B64*12</f>
        <v>0.15480380138455435</v>
      </c>
      <c r="C65" s="24">
        <f t="shared" ref="C65:K65" si="1">C64*12</f>
        <v>6.0815934311034082E-2</v>
      </c>
      <c r="D65" s="24">
        <f>D64*12</f>
        <v>0.47128890394530876</v>
      </c>
      <c r="E65" s="24">
        <f t="shared" si="1"/>
        <v>0.24390878750538858</v>
      </c>
      <c r="F65" s="24">
        <f t="shared" si="1"/>
        <v>0.10143547176869</v>
      </c>
      <c r="G65" s="24">
        <f t="shared" si="1"/>
        <v>0.19797227828042013</v>
      </c>
      <c r="H65" s="24">
        <f t="shared" si="1"/>
        <v>0.18313394942995337</v>
      </c>
      <c r="I65" s="24">
        <f>I64*12</f>
        <v>0.5117434866874192</v>
      </c>
      <c r="J65" s="24">
        <f t="shared" si="1"/>
        <v>0.3404330831838227</v>
      </c>
      <c r="K65" s="25">
        <f t="shared" si="1"/>
        <v>0.21600123768460991</v>
      </c>
      <c r="L65" s="23">
        <f t="shared" ref="L65:L69" si="2">AVERAGE(B65:K65)</f>
        <v>0.2481536934181201</v>
      </c>
    </row>
    <row r="66" spans="1:12">
      <c r="A66" s="44" t="s">
        <v>14</v>
      </c>
      <c r="B66" s="26">
        <f>_xlfn.VAR.S(AAPL1)</f>
        <v>5.0962477069292867E-3</v>
      </c>
      <c r="C66" s="26">
        <f t="shared" ref="C66:K66" si="3">_xlfn.VAR.S(C3:C64)</f>
        <v>7.4741094556301912E-3</v>
      </c>
      <c r="D66" s="26">
        <f t="shared" si="3"/>
        <v>9.6221282949086728E-3</v>
      </c>
      <c r="E66" s="26">
        <f t="shared" si="3"/>
        <v>6.0091084266450639E-3</v>
      </c>
      <c r="F66" s="26">
        <f t="shared" si="3"/>
        <v>4.6605782407193128E-3</v>
      </c>
      <c r="G66" s="26">
        <f t="shared" si="3"/>
        <v>1.4162000999482385E-2</v>
      </c>
      <c r="H66" s="26">
        <f t="shared" si="3"/>
        <v>3.8336688639038431E-3</v>
      </c>
      <c r="I66" s="26">
        <f t="shared" si="3"/>
        <v>1.9596191569281989E-2</v>
      </c>
      <c r="J66" s="26">
        <f t="shared" si="3"/>
        <v>9.7933269948656029E-3</v>
      </c>
      <c r="K66" s="27">
        <f t="shared" si="3"/>
        <v>3.0555443990937309E-2</v>
      </c>
      <c r="L66" s="23">
        <f t="shared" si="2"/>
        <v>1.1080280454330365E-2</v>
      </c>
    </row>
    <row r="67" spans="1:12" ht="18.75">
      <c r="A67" s="21" t="s">
        <v>15</v>
      </c>
      <c r="B67" s="24">
        <f>B66*12</f>
        <v>6.1154972483151437E-2</v>
      </c>
      <c r="C67" s="24">
        <f>C66*12</f>
        <v>8.9689313467562287E-2</v>
      </c>
      <c r="D67" s="24">
        <f t="shared" ref="D67:J67" si="4">D66*12</f>
        <v>0.11546553953890407</v>
      </c>
      <c r="E67" s="24">
        <f t="shared" si="4"/>
        <v>7.210930111974076E-2</v>
      </c>
      <c r="F67" s="24">
        <f t="shared" si="4"/>
        <v>5.5926938888631754E-2</v>
      </c>
      <c r="G67" s="24">
        <f t="shared" si="4"/>
        <v>0.16994401199378861</v>
      </c>
      <c r="H67" s="24">
        <f t="shared" si="4"/>
        <v>4.6004026366846119E-2</v>
      </c>
      <c r="I67" s="24">
        <f t="shared" si="4"/>
        <v>0.23515429883138386</v>
      </c>
      <c r="J67" s="24">
        <f t="shared" si="4"/>
        <v>0.11751992393838723</v>
      </c>
      <c r="K67" s="25">
        <f>K66*12</f>
        <v>0.36666532789124773</v>
      </c>
      <c r="L67" s="23">
        <f t="shared" si="2"/>
        <v>0.13296336545196438</v>
      </c>
    </row>
    <row r="68" spans="1:12" ht="18.75">
      <c r="A68" s="21" t="s">
        <v>16</v>
      </c>
      <c r="B68" s="24">
        <f>SQRT(B67)</f>
        <v>0.2472953143170154</v>
      </c>
      <c r="C68" s="24">
        <f t="shared" ref="C68:J68" si="5">SQRT(C67)</f>
        <v>0.29948174145941231</v>
      </c>
      <c r="D68" s="24">
        <f t="shared" si="5"/>
        <v>0.33980220649504922</v>
      </c>
      <c r="E68" s="24">
        <f t="shared" si="5"/>
        <v>0.26853175067343665</v>
      </c>
      <c r="F68" s="24">
        <f t="shared" si="5"/>
        <v>0.23648877116817144</v>
      </c>
      <c r="G68" s="24">
        <f t="shared" si="5"/>
        <v>0.41224266154024941</v>
      </c>
      <c r="H68" s="24">
        <f t="shared" si="5"/>
        <v>0.21448549220599075</v>
      </c>
      <c r="I68" s="24">
        <f t="shared" si="5"/>
        <v>0.4849271067195397</v>
      </c>
      <c r="J68" s="24">
        <f t="shared" si="5"/>
        <v>0.34281179083921143</v>
      </c>
      <c r="K68" s="25">
        <f>SQRT(K67)</f>
        <v>0.60552896536106982</v>
      </c>
      <c r="L68" s="23">
        <f t="shared" si="2"/>
        <v>0.34515958007791464</v>
      </c>
    </row>
    <row r="69" spans="1:12">
      <c r="A69" s="16"/>
      <c r="L69" s="23" t="s">
        <v>17</v>
      </c>
    </row>
    <row r="70" spans="1:12">
      <c r="A70" s="16"/>
    </row>
    <row r="71" spans="1:12">
      <c r="A71" s="16"/>
    </row>
    <row r="72" spans="1:12">
      <c r="A72" s="16"/>
    </row>
    <row r="73" spans="1:12">
      <c r="A73" s="16"/>
    </row>
    <row r="74" spans="1:12">
      <c r="A74" s="16"/>
    </row>
    <row r="75" spans="1:12">
      <c r="A75" s="16"/>
    </row>
    <row r="76" spans="1:12">
      <c r="A76" s="16"/>
    </row>
    <row r="77" spans="1:12">
      <c r="A77" s="16"/>
    </row>
    <row r="78" spans="1:12">
      <c r="A78" s="16"/>
    </row>
    <row r="79" spans="1:12">
      <c r="A79" s="16"/>
    </row>
    <row r="80" spans="1:12">
      <c r="A80" s="16"/>
    </row>
    <row r="81" spans="1:1">
      <c r="A81" s="16"/>
    </row>
    <row r="82" spans="1:1">
      <c r="A82" s="16"/>
    </row>
    <row r="83" spans="1:1">
      <c r="A83" s="16"/>
    </row>
    <row r="84" spans="1:1">
      <c r="A84" s="16"/>
    </row>
    <row r="85" spans="1:1">
      <c r="A85" s="16"/>
    </row>
    <row r="86" spans="1:1">
      <c r="A86" s="16"/>
    </row>
    <row r="87" spans="1:1">
      <c r="A87" s="16"/>
    </row>
    <row r="88" spans="1:1">
      <c r="A88" s="16"/>
    </row>
    <row r="89" spans="1:1">
      <c r="A89" s="16"/>
    </row>
    <row r="90" spans="1:1">
      <c r="A90" s="16"/>
    </row>
    <row r="91" spans="1:1">
      <c r="A91" s="16"/>
    </row>
    <row r="92" spans="1:1">
      <c r="A92" s="16"/>
    </row>
    <row r="93" spans="1:1">
      <c r="A93" s="16"/>
    </row>
    <row r="94" spans="1:1">
      <c r="A94" s="16"/>
    </row>
    <row r="95" spans="1:1">
      <c r="A95" s="16"/>
    </row>
    <row r="96" spans="1:1">
      <c r="A96" s="16"/>
    </row>
    <row r="97" spans="1:1">
      <c r="A97" s="16"/>
    </row>
    <row r="98" spans="1:1">
      <c r="A98" s="16"/>
    </row>
    <row r="99" spans="1:1">
      <c r="A99" s="16"/>
    </row>
    <row r="100" spans="1:1">
      <c r="A100" s="16"/>
    </row>
    <row r="101" spans="1:1">
      <c r="A101" s="16"/>
    </row>
    <row r="102" spans="1:1">
      <c r="A102" s="16"/>
    </row>
    <row r="103" spans="1:1">
      <c r="A103" s="16"/>
    </row>
    <row r="104" spans="1:1">
      <c r="A104" s="16"/>
    </row>
    <row r="105" spans="1:1">
      <c r="A105" s="16"/>
    </row>
    <row r="106" spans="1:1">
      <c r="A106" s="16"/>
    </row>
    <row r="107" spans="1:1">
      <c r="A107" s="16"/>
    </row>
    <row r="108" spans="1:1">
      <c r="A108" s="16"/>
    </row>
    <row r="109" spans="1:1">
      <c r="A109" s="16"/>
    </row>
    <row r="110" spans="1:1">
      <c r="A110" s="16"/>
    </row>
    <row r="111" spans="1:1">
      <c r="A111" s="16"/>
    </row>
    <row r="112" spans="1:1">
      <c r="A112" s="16"/>
    </row>
    <row r="113" spans="1:1">
      <c r="A113" s="16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  <row r="138" spans="1:1">
      <c r="A138" s="16"/>
    </row>
    <row r="139" spans="1:1">
      <c r="A139" s="16"/>
    </row>
    <row r="140" spans="1:1">
      <c r="A140" s="16"/>
    </row>
    <row r="141" spans="1:1">
      <c r="A141" s="16"/>
    </row>
    <row r="142" spans="1:1">
      <c r="A142" s="16"/>
    </row>
    <row r="143" spans="1:1">
      <c r="A143" s="16"/>
    </row>
    <row r="144" spans="1:1">
      <c r="A144" s="16"/>
    </row>
    <row r="145" spans="1:1">
      <c r="A145" s="16"/>
    </row>
    <row r="146" spans="1:1">
      <c r="A146" s="16"/>
    </row>
    <row r="147" spans="1:1">
      <c r="A147" s="16"/>
    </row>
    <row r="148" spans="1:1">
      <c r="A148" s="16"/>
    </row>
    <row r="149" spans="1:1">
      <c r="A149" s="16"/>
    </row>
    <row r="150" spans="1:1">
      <c r="A150" s="16"/>
    </row>
    <row r="151" spans="1:1">
      <c r="A151" s="16"/>
    </row>
    <row r="152" spans="1:1">
      <c r="A152" s="16"/>
    </row>
    <row r="153" spans="1:1">
      <c r="A153" s="16"/>
    </row>
    <row r="154" spans="1:1">
      <c r="A154" s="16"/>
    </row>
    <row r="155" spans="1:1">
      <c r="A155" s="16"/>
    </row>
    <row r="156" spans="1:1">
      <c r="A156" s="16"/>
    </row>
    <row r="157" spans="1:1">
      <c r="A157" s="16"/>
    </row>
    <row r="158" spans="1:1">
      <c r="A158" s="16"/>
    </row>
    <row r="159" spans="1:1">
      <c r="A159" s="16"/>
    </row>
    <row r="160" spans="1:1">
      <c r="A160" s="16"/>
    </row>
    <row r="161" spans="1:1">
      <c r="A161" s="16"/>
    </row>
    <row r="162" spans="1:1">
      <c r="A162" s="16"/>
    </row>
    <row r="163" spans="1:1">
      <c r="A163" s="16"/>
    </row>
    <row r="164" spans="1:1">
      <c r="A164" s="16"/>
    </row>
    <row r="165" spans="1:1">
      <c r="A165" s="16"/>
    </row>
    <row r="166" spans="1:1">
      <c r="A166" s="16"/>
    </row>
    <row r="167" spans="1:1">
      <c r="A167" s="16"/>
    </row>
    <row r="168" spans="1:1">
      <c r="A168" s="16"/>
    </row>
    <row r="169" spans="1:1">
      <c r="A169" s="16"/>
    </row>
    <row r="170" spans="1:1">
      <c r="A170" s="16"/>
    </row>
    <row r="171" spans="1:1">
      <c r="A171" s="16"/>
    </row>
    <row r="172" spans="1:1">
      <c r="A172" s="16"/>
    </row>
    <row r="173" spans="1:1">
      <c r="A173" s="16"/>
    </row>
    <row r="174" spans="1:1">
      <c r="A174" s="16"/>
    </row>
    <row r="175" spans="1:1">
      <c r="A175" s="16"/>
    </row>
    <row r="176" spans="1:1">
      <c r="A176" s="16"/>
    </row>
    <row r="177" spans="1:1">
      <c r="A177" s="16"/>
    </row>
    <row r="178" spans="1:1">
      <c r="A178" s="16"/>
    </row>
    <row r="179" spans="1:1">
      <c r="A179" s="16"/>
    </row>
    <row r="180" spans="1:1">
      <c r="A180" s="16"/>
    </row>
    <row r="181" spans="1:1">
      <c r="A181" s="16"/>
    </row>
    <row r="182" spans="1:1">
      <c r="A182" s="16"/>
    </row>
    <row r="183" spans="1:1">
      <c r="A183" s="16"/>
    </row>
    <row r="184" spans="1:1">
      <c r="A184" s="16"/>
    </row>
    <row r="185" spans="1:1">
      <c r="A185" s="16"/>
    </row>
    <row r="186" spans="1:1">
      <c r="A186" s="16"/>
    </row>
    <row r="187" spans="1:1">
      <c r="A187" s="16"/>
    </row>
    <row r="188" spans="1:1">
      <c r="A188" s="16"/>
    </row>
    <row r="189" spans="1:1">
      <c r="A189" s="16"/>
    </row>
    <row r="190" spans="1:1">
      <c r="A190" s="16"/>
    </row>
    <row r="191" spans="1:1">
      <c r="A191" s="16"/>
    </row>
    <row r="192" spans="1:1">
      <c r="A192" s="16"/>
    </row>
    <row r="193" spans="1:1">
      <c r="A193" s="16"/>
    </row>
    <row r="194" spans="1:1">
      <c r="A194" s="16"/>
    </row>
    <row r="195" spans="1:1">
      <c r="A195" s="16"/>
    </row>
    <row r="196" spans="1:1">
      <c r="A196" s="16"/>
    </row>
    <row r="197" spans="1:1">
      <c r="A197" s="16"/>
    </row>
    <row r="198" spans="1:1">
      <c r="A198" s="16"/>
    </row>
    <row r="199" spans="1:1">
      <c r="A199" s="16"/>
    </row>
    <row r="200" spans="1:1">
      <c r="A200" s="16"/>
    </row>
    <row r="201" spans="1:1">
      <c r="A201" s="16"/>
    </row>
    <row r="202" spans="1:1">
      <c r="A202" s="16"/>
    </row>
    <row r="203" spans="1:1">
      <c r="A203" s="16"/>
    </row>
    <row r="204" spans="1:1">
      <c r="A204" s="16"/>
    </row>
    <row r="205" spans="1:1">
      <c r="A205" s="16"/>
    </row>
    <row r="206" spans="1:1">
      <c r="A206" s="16"/>
    </row>
    <row r="207" spans="1:1">
      <c r="A207" s="16"/>
    </row>
    <row r="208" spans="1:1">
      <c r="A208" s="16"/>
    </row>
    <row r="209" spans="1:1">
      <c r="A209" s="16"/>
    </row>
    <row r="210" spans="1:1">
      <c r="A210" s="16"/>
    </row>
    <row r="211" spans="1:1">
      <c r="A211" s="16"/>
    </row>
    <row r="212" spans="1:1">
      <c r="A212" s="16"/>
    </row>
    <row r="213" spans="1:1">
      <c r="A213" s="16"/>
    </row>
    <row r="214" spans="1:1">
      <c r="A214" s="16"/>
    </row>
    <row r="215" spans="1:1">
      <c r="A215" s="16"/>
    </row>
    <row r="216" spans="1:1">
      <c r="A216" s="16"/>
    </row>
    <row r="217" spans="1:1">
      <c r="A217" s="16"/>
    </row>
    <row r="218" spans="1:1">
      <c r="A218" s="16"/>
    </row>
    <row r="219" spans="1:1">
      <c r="A219" s="16"/>
    </row>
    <row r="220" spans="1:1">
      <c r="A220" s="16"/>
    </row>
    <row r="221" spans="1:1">
      <c r="A221" s="16"/>
    </row>
    <row r="222" spans="1:1">
      <c r="A222" s="16"/>
    </row>
    <row r="223" spans="1:1">
      <c r="A223" s="16"/>
    </row>
    <row r="224" spans="1:1">
      <c r="A224" s="16"/>
    </row>
    <row r="225" spans="1:1">
      <c r="A225" s="16"/>
    </row>
    <row r="226" spans="1:1">
      <c r="A226" s="16"/>
    </row>
    <row r="227" spans="1:1">
      <c r="A227" s="16"/>
    </row>
    <row r="228" spans="1:1">
      <c r="A228" s="16"/>
    </row>
    <row r="229" spans="1:1">
      <c r="A229" s="16"/>
    </row>
    <row r="230" spans="1:1">
      <c r="A230" s="16"/>
    </row>
    <row r="231" spans="1:1">
      <c r="A231" s="16"/>
    </row>
    <row r="232" spans="1:1">
      <c r="A232" s="16"/>
    </row>
    <row r="233" spans="1:1">
      <c r="A233" s="16"/>
    </row>
    <row r="234" spans="1:1">
      <c r="A234" s="16"/>
    </row>
    <row r="235" spans="1:1">
      <c r="A235" s="16"/>
    </row>
    <row r="236" spans="1:1">
      <c r="A236" s="16"/>
    </row>
    <row r="237" spans="1:1">
      <c r="A237" s="16"/>
    </row>
    <row r="238" spans="1:1">
      <c r="A238" s="16"/>
    </row>
    <row r="239" spans="1:1">
      <c r="A239" s="16"/>
    </row>
    <row r="240" spans="1:1">
      <c r="A240" s="16"/>
    </row>
    <row r="241" spans="1:1">
      <c r="A241" s="16"/>
    </row>
    <row r="242" spans="1:1">
      <c r="A242" s="16"/>
    </row>
    <row r="243" spans="1:1">
      <c r="A243" s="16"/>
    </row>
    <row r="244" spans="1:1">
      <c r="A244" s="16"/>
    </row>
    <row r="245" spans="1:1">
      <c r="A245" s="16"/>
    </row>
    <row r="246" spans="1:1">
      <c r="A246" s="16"/>
    </row>
    <row r="247" spans="1:1">
      <c r="A247" s="16"/>
    </row>
    <row r="248" spans="1:1">
      <c r="A248" s="16"/>
    </row>
    <row r="249" spans="1:1">
      <c r="A249" s="16"/>
    </row>
    <row r="250" spans="1:1">
      <c r="A250" s="16"/>
    </row>
    <row r="251" spans="1:1">
      <c r="A251" s="16"/>
    </row>
    <row r="252" spans="1:1">
      <c r="A252" s="16"/>
    </row>
    <row r="253" spans="1:1">
      <c r="A253" s="16"/>
    </row>
    <row r="254" spans="1:1">
      <c r="A254" s="16"/>
    </row>
    <row r="255" spans="1:1">
      <c r="A255" s="16"/>
    </row>
    <row r="256" spans="1:1">
      <c r="A256" s="16"/>
    </row>
    <row r="257" spans="1:1">
      <c r="A257" s="16"/>
    </row>
    <row r="258" spans="1:1">
      <c r="A258" s="16"/>
    </row>
    <row r="259" spans="1:1">
      <c r="A259" s="16"/>
    </row>
    <row r="260" spans="1:1">
      <c r="A260" s="16"/>
    </row>
    <row r="261" spans="1:1">
      <c r="A261" s="16"/>
    </row>
    <row r="262" spans="1:1">
      <c r="A262" s="16"/>
    </row>
    <row r="263" spans="1:1">
      <c r="A263" s="16"/>
    </row>
    <row r="264" spans="1:1">
      <c r="A264" s="16"/>
    </row>
    <row r="265" spans="1:1">
      <c r="A265" s="16"/>
    </row>
    <row r="266" spans="1:1">
      <c r="A266" s="16"/>
    </row>
    <row r="267" spans="1:1">
      <c r="A267" s="16"/>
    </row>
    <row r="268" spans="1:1">
      <c r="A268" s="16"/>
    </row>
    <row r="269" spans="1:1">
      <c r="A269" s="16"/>
    </row>
    <row r="270" spans="1:1">
      <c r="A270" s="16"/>
    </row>
    <row r="271" spans="1:1">
      <c r="A271" s="16"/>
    </row>
    <row r="272" spans="1:1">
      <c r="A272" s="16"/>
    </row>
    <row r="273" spans="1:1">
      <c r="A273" s="16"/>
    </row>
    <row r="274" spans="1:1">
      <c r="A274" s="16"/>
    </row>
    <row r="275" spans="1:1">
      <c r="A275" s="16"/>
    </row>
    <row r="276" spans="1:1">
      <c r="A276" s="16"/>
    </row>
    <row r="277" spans="1:1">
      <c r="A277" s="16"/>
    </row>
    <row r="278" spans="1:1">
      <c r="A278" s="16"/>
    </row>
    <row r="279" spans="1:1">
      <c r="A279" s="16"/>
    </row>
    <row r="280" spans="1:1">
      <c r="A280" s="16"/>
    </row>
    <row r="281" spans="1:1">
      <c r="A281" s="16"/>
    </row>
    <row r="282" spans="1:1">
      <c r="A282" s="16"/>
    </row>
    <row r="283" spans="1:1">
      <c r="A283" s="16"/>
    </row>
    <row r="284" spans="1:1">
      <c r="A284" s="16"/>
    </row>
    <row r="285" spans="1:1">
      <c r="A285" s="16"/>
    </row>
    <row r="286" spans="1:1">
      <c r="A286" s="16"/>
    </row>
    <row r="287" spans="1:1">
      <c r="A287" s="16"/>
    </row>
    <row r="288" spans="1:1">
      <c r="A288" s="16"/>
    </row>
    <row r="289" spans="1:1">
      <c r="A289" s="16"/>
    </row>
    <row r="290" spans="1:1">
      <c r="A290" s="16"/>
    </row>
    <row r="291" spans="1:1">
      <c r="A291" s="16"/>
    </row>
    <row r="292" spans="1:1">
      <c r="A292" s="16"/>
    </row>
    <row r="293" spans="1:1">
      <c r="A293" s="16"/>
    </row>
    <row r="294" spans="1:1">
      <c r="A294" s="16"/>
    </row>
    <row r="295" spans="1:1">
      <c r="A295" s="16"/>
    </row>
    <row r="296" spans="1:1">
      <c r="A296" s="16"/>
    </row>
    <row r="297" spans="1:1">
      <c r="A297" s="16"/>
    </row>
    <row r="298" spans="1:1">
      <c r="A298" s="16"/>
    </row>
    <row r="299" spans="1:1">
      <c r="A299" s="16"/>
    </row>
    <row r="300" spans="1:1">
      <c r="A300" s="16"/>
    </row>
    <row r="301" spans="1:1">
      <c r="A301" s="16"/>
    </row>
    <row r="302" spans="1:1">
      <c r="A302" s="16"/>
    </row>
    <row r="303" spans="1:1">
      <c r="A303" s="16"/>
    </row>
    <row r="304" spans="1:1">
      <c r="A304" s="16"/>
    </row>
    <row r="305" spans="1:1">
      <c r="A305" s="16"/>
    </row>
    <row r="306" spans="1:1">
      <c r="A306" s="16"/>
    </row>
    <row r="307" spans="1:1">
      <c r="A307" s="16"/>
    </row>
    <row r="308" spans="1:1">
      <c r="A308" s="16"/>
    </row>
    <row r="309" spans="1:1">
      <c r="A309" s="16"/>
    </row>
    <row r="310" spans="1:1">
      <c r="A310" s="16"/>
    </row>
    <row r="311" spans="1:1">
      <c r="A311" s="16"/>
    </row>
    <row r="312" spans="1:1">
      <c r="A312" s="16"/>
    </row>
    <row r="313" spans="1:1">
      <c r="A313" s="16"/>
    </row>
    <row r="314" spans="1:1">
      <c r="A314" s="16"/>
    </row>
    <row r="315" spans="1:1">
      <c r="A315" s="16"/>
    </row>
    <row r="316" spans="1:1">
      <c r="A316" s="16"/>
    </row>
    <row r="317" spans="1:1">
      <c r="A317" s="16"/>
    </row>
    <row r="318" spans="1:1">
      <c r="A318" s="16"/>
    </row>
    <row r="319" spans="1:1">
      <c r="A319" s="16"/>
    </row>
    <row r="320" spans="1:1">
      <c r="A320" s="16"/>
    </row>
    <row r="321" spans="1:1">
      <c r="A321" s="16"/>
    </row>
    <row r="322" spans="1:1">
      <c r="A322" s="16"/>
    </row>
    <row r="323" spans="1:1">
      <c r="A323" s="16"/>
    </row>
    <row r="324" spans="1:1">
      <c r="A324" s="16"/>
    </row>
    <row r="325" spans="1:1">
      <c r="A325" s="16"/>
    </row>
    <row r="326" spans="1:1">
      <c r="A326" s="16"/>
    </row>
    <row r="327" spans="1:1">
      <c r="A327" s="16"/>
    </row>
    <row r="328" spans="1:1">
      <c r="A328" s="16"/>
    </row>
    <row r="329" spans="1:1">
      <c r="A329" s="16"/>
    </row>
    <row r="330" spans="1:1">
      <c r="A330" s="16"/>
    </row>
    <row r="331" spans="1:1">
      <c r="A331" s="16"/>
    </row>
    <row r="332" spans="1:1">
      <c r="A332" s="16"/>
    </row>
    <row r="333" spans="1:1">
      <c r="A333" s="16"/>
    </row>
    <row r="334" spans="1:1">
      <c r="A334" s="16"/>
    </row>
    <row r="335" spans="1:1">
      <c r="A335" s="16"/>
    </row>
    <row r="336" spans="1:1">
      <c r="A336" s="16"/>
    </row>
    <row r="337" spans="1:1">
      <c r="A337" s="16"/>
    </row>
    <row r="338" spans="1:1">
      <c r="A338" s="16"/>
    </row>
    <row r="339" spans="1:1">
      <c r="A339" s="16"/>
    </row>
    <row r="340" spans="1:1">
      <c r="A340" s="16"/>
    </row>
    <row r="341" spans="1:1">
      <c r="A341" s="16"/>
    </row>
    <row r="342" spans="1:1">
      <c r="A342" s="16"/>
    </row>
    <row r="343" spans="1:1">
      <c r="A343" s="16"/>
    </row>
    <row r="344" spans="1:1">
      <c r="A344" s="16"/>
    </row>
    <row r="345" spans="1:1">
      <c r="A345" s="16"/>
    </row>
    <row r="346" spans="1:1">
      <c r="A346" s="16"/>
    </row>
    <row r="347" spans="1:1">
      <c r="A347" s="16"/>
    </row>
    <row r="348" spans="1:1">
      <c r="A348" s="16"/>
    </row>
    <row r="349" spans="1:1">
      <c r="A349" s="16"/>
    </row>
    <row r="350" spans="1:1">
      <c r="A350" s="16"/>
    </row>
    <row r="351" spans="1:1">
      <c r="A351" s="16"/>
    </row>
    <row r="352" spans="1:1">
      <c r="A352" s="16"/>
    </row>
    <row r="353" spans="1:1">
      <c r="A353" s="16"/>
    </row>
    <row r="354" spans="1:1">
      <c r="A354" s="16"/>
    </row>
    <row r="355" spans="1:1">
      <c r="A355" s="16"/>
    </row>
    <row r="356" spans="1:1">
      <c r="A356" s="16"/>
    </row>
    <row r="357" spans="1:1">
      <c r="A357" s="16"/>
    </row>
    <row r="358" spans="1:1">
      <c r="A358" s="16"/>
    </row>
    <row r="359" spans="1:1">
      <c r="A359" s="16"/>
    </row>
    <row r="360" spans="1:1">
      <c r="A360" s="16"/>
    </row>
    <row r="361" spans="1:1">
      <c r="A361" s="16"/>
    </row>
    <row r="362" spans="1:1">
      <c r="A362" s="16"/>
    </row>
    <row r="363" spans="1:1">
      <c r="A363" s="16"/>
    </row>
    <row r="364" spans="1:1">
      <c r="A364" s="16"/>
    </row>
    <row r="365" spans="1:1">
      <c r="A365" s="16"/>
    </row>
    <row r="366" spans="1:1">
      <c r="A366" s="16"/>
    </row>
    <row r="367" spans="1:1">
      <c r="A367" s="16"/>
    </row>
    <row r="368" spans="1:1">
      <c r="A368" s="16"/>
    </row>
    <row r="369" spans="1:1">
      <c r="A369" s="16"/>
    </row>
    <row r="370" spans="1:1">
      <c r="A370" s="16"/>
    </row>
    <row r="371" spans="1:1">
      <c r="A371" s="16"/>
    </row>
    <row r="372" spans="1:1">
      <c r="A372" s="16"/>
    </row>
    <row r="373" spans="1:1">
      <c r="A373" s="16"/>
    </row>
    <row r="374" spans="1:1">
      <c r="A374" s="16"/>
    </row>
    <row r="375" spans="1:1">
      <c r="A375" s="16"/>
    </row>
    <row r="376" spans="1:1">
      <c r="A376" s="16"/>
    </row>
    <row r="377" spans="1:1">
      <c r="A377" s="16"/>
    </row>
    <row r="378" spans="1:1">
      <c r="A378" s="16"/>
    </row>
    <row r="379" spans="1:1">
      <c r="A379" s="16"/>
    </row>
    <row r="380" spans="1:1">
      <c r="A380" s="16"/>
    </row>
    <row r="381" spans="1:1">
      <c r="A381" s="16"/>
    </row>
    <row r="382" spans="1:1">
      <c r="A382" s="16"/>
    </row>
    <row r="383" spans="1:1">
      <c r="A383" s="16"/>
    </row>
    <row r="384" spans="1:1">
      <c r="A384" s="16"/>
    </row>
    <row r="385" spans="1:1">
      <c r="A385" s="16"/>
    </row>
    <row r="386" spans="1:1">
      <c r="A386" s="16"/>
    </row>
    <row r="387" spans="1:1">
      <c r="A387" s="16"/>
    </row>
    <row r="388" spans="1:1">
      <c r="A388" s="16"/>
    </row>
    <row r="389" spans="1:1">
      <c r="A389" s="16"/>
    </row>
    <row r="390" spans="1:1">
      <c r="A390" s="16"/>
    </row>
    <row r="391" spans="1:1">
      <c r="A391" s="16"/>
    </row>
    <row r="392" spans="1:1">
      <c r="A392" s="16"/>
    </row>
    <row r="393" spans="1:1">
      <c r="A393" s="16"/>
    </row>
    <row r="394" spans="1:1">
      <c r="A394" s="16"/>
    </row>
    <row r="395" spans="1:1">
      <c r="A395" s="16"/>
    </row>
    <row r="396" spans="1:1">
      <c r="A396" s="16"/>
    </row>
    <row r="397" spans="1:1">
      <c r="A397" s="16"/>
    </row>
    <row r="398" spans="1:1">
      <c r="A398" s="16"/>
    </row>
    <row r="399" spans="1:1">
      <c r="A399" s="16"/>
    </row>
    <row r="400" spans="1:1">
      <c r="A400" s="16"/>
    </row>
    <row r="401" spans="1:1">
      <c r="A401" s="16"/>
    </row>
    <row r="402" spans="1:1">
      <c r="A402" s="16"/>
    </row>
    <row r="403" spans="1:1">
      <c r="A403" s="16"/>
    </row>
    <row r="404" spans="1:1">
      <c r="A404" s="16"/>
    </row>
    <row r="405" spans="1:1">
      <c r="A405" s="16"/>
    </row>
    <row r="406" spans="1:1">
      <c r="A406" s="16"/>
    </row>
    <row r="407" spans="1:1">
      <c r="A407" s="16"/>
    </row>
    <row r="408" spans="1:1">
      <c r="A408" s="16"/>
    </row>
    <row r="409" spans="1:1">
      <c r="A409" s="16"/>
    </row>
    <row r="410" spans="1:1">
      <c r="A410" s="16"/>
    </row>
    <row r="411" spans="1:1">
      <c r="A411" s="16"/>
    </row>
    <row r="412" spans="1:1">
      <c r="A412" s="16"/>
    </row>
    <row r="413" spans="1:1">
      <c r="A413" s="16"/>
    </row>
    <row r="414" spans="1:1">
      <c r="A414" s="16"/>
    </row>
    <row r="415" spans="1:1">
      <c r="A415" s="16"/>
    </row>
    <row r="416" spans="1:1">
      <c r="A416" s="16"/>
    </row>
    <row r="417" spans="1:1">
      <c r="A417" s="16"/>
    </row>
    <row r="418" spans="1:1">
      <c r="A418" s="16"/>
    </row>
    <row r="419" spans="1:1">
      <c r="A419" s="16"/>
    </row>
    <row r="420" spans="1:1">
      <c r="A420" s="16"/>
    </row>
    <row r="421" spans="1:1">
      <c r="A421" s="16"/>
    </row>
    <row r="422" spans="1:1">
      <c r="A422" s="16"/>
    </row>
    <row r="423" spans="1:1">
      <c r="A423" s="16"/>
    </row>
    <row r="424" spans="1:1">
      <c r="A424" s="16"/>
    </row>
    <row r="425" spans="1:1">
      <c r="A425" s="16"/>
    </row>
    <row r="426" spans="1:1">
      <c r="A426" s="16"/>
    </row>
    <row r="427" spans="1:1">
      <c r="A427" s="16"/>
    </row>
    <row r="428" spans="1:1">
      <c r="A428" s="16"/>
    </row>
    <row r="429" spans="1:1">
      <c r="A429" s="16"/>
    </row>
    <row r="430" spans="1:1">
      <c r="A430" s="16"/>
    </row>
    <row r="431" spans="1:1">
      <c r="A431" s="16"/>
    </row>
    <row r="432" spans="1:1">
      <c r="A432" s="16"/>
    </row>
    <row r="433" spans="1:1">
      <c r="A433" s="16"/>
    </row>
    <row r="434" spans="1:1">
      <c r="A434" s="16"/>
    </row>
    <row r="435" spans="1:1">
      <c r="A435" s="16"/>
    </row>
    <row r="436" spans="1:1">
      <c r="A436" s="16"/>
    </row>
    <row r="437" spans="1:1">
      <c r="A437" s="16"/>
    </row>
    <row r="438" spans="1:1">
      <c r="A438" s="16"/>
    </row>
    <row r="439" spans="1:1">
      <c r="A439" s="16"/>
    </row>
    <row r="440" spans="1:1">
      <c r="A440" s="16"/>
    </row>
    <row r="441" spans="1:1">
      <c r="A441" s="16"/>
    </row>
    <row r="442" spans="1:1">
      <c r="A442" s="16"/>
    </row>
    <row r="443" spans="1:1">
      <c r="A443" s="16"/>
    </row>
    <row r="444" spans="1:1">
      <c r="A444" s="16"/>
    </row>
    <row r="445" spans="1:1">
      <c r="A445" s="16"/>
    </row>
    <row r="446" spans="1:1">
      <c r="A446" s="16"/>
    </row>
    <row r="447" spans="1:1">
      <c r="A447" s="16"/>
    </row>
    <row r="448" spans="1:1">
      <c r="A448" s="16"/>
    </row>
    <row r="449" spans="1:1">
      <c r="A449" s="16"/>
    </row>
    <row r="450" spans="1:1">
      <c r="A450" s="16"/>
    </row>
    <row r="451" spans="1:1">
      <c r="A451" s="16"/>
    </row>
    <row r="452" spans="1:1">
      <c r="A452" s="16"/>
    </row>
    <row r="453" spans="1:1">
      <c r="A453" s="16"/>
    </row>
    <row r="454" spans="1:1">
      <c r="A454" s="16"/>
    </row>
    <row r="455" spans="1:1">
      <c r="A455" s="16"/>
    </row>
    <row r="456" spans="1:1">
      <c r="A456" s="16"/>
    </row>
    <row r="457" spans="1:1">
      <c r="A457" s="16"/>
    </row>
    <row r="458" spans="1:1">
      <c r="A458" s="16"/>
    </row>
    <row r="459" spans="1:1">
      <c r="A459" s="16"/>
    </row>
    <row r="460" spans="1:1">
      <c r="A460" s="16"/>
    </row>
    <row r="461" spans="1:1">
      <c r="A461" s="16"/>
    </row>
    <row r="462" spans="1:1">
      <c r="A462" s="16"/>
    </row>
    <row r="463" spans="1:1">
      <c r="A463" s="16"/>
    </row>
    <row r="464" spans="1:1">
      <c r="A464" s="16"/>
    </row>
    <row r="465" spans="1:1">
      <c r="A465" s="16"/>
    </row>
    <row r="466" spans="1:1">
      <c r="A466" s="16"/>
    </row>
    <row r="467" spans="1:1">
      <c r="A467" s="16"/>
    </row>
    <row r="468" spans="1:1">
      <c r="A468" s="16"/>
    </row>
    <row r="469" spans="1:1">
      <c r="A469" s="16"/>
    </row>
    <row r="470" spans="1:1">
      <c r="A470" s="16"/>
    </row>
    <row r="471" spans="1:1">
      <c r="A471" s="16"/>
    </row>
    <row r="472" spans="1:1">
      <c r="A472" s="16"/>
    </row>
    <row r="473" spans="1:1">
      <c r="A473" s="16"/>
    </row>
    <row r="474" spans="1:1">
      <c r="A474" s="16"/>
    </row>
    <row r="475" spans="1:1">
      <c r="A475" s="16"/>
    </row>
    <row r="476" spans="1:1">
      <c r="A476" s="16"/>
    </row>
    <row r="477" spans="1:1">
      <c r="A477" s="16"/>
    </row>
    <row r="478" spans="1:1">
      <c r="A478" s="16"/>
    </row>
    <row r="479" spans="1:1">
      <c r="A479" s="16"/>
    </row>
    <row r="480" spans="1:1">
      <c r="A480" s="16"/>
    </row>
    <row r="481" spans="1:1">
      <c r="A481" s="16"/>
    </row>
    <row r="482" spans="1:1">
      <c r="A482" s="16"/>
    </row>
    <row r="483" spans="1:1">
      <c r="A483" s="16"/>
    </row>
    <row r="484" spans="1:1">
      <c r="A484" s="16"/>
    </row>
    <row r="485" spans="1:1">
      <c r="A485" s="16"/>
    </row>
    <row r="486" spans="1:1">
      <c r="A486" s="16"/>
    </row>
    <row r="487" spans="1:1">
      <c r="A487" s="16"/>
    </row>
    <row r="488" spans="1:1">
      <c r="A488" s="16"/>
    </row>
    <row r="489" spans="1:1">
      <c r="A489" s="16"/>
    </row>
  </sheetData>
  <mergeCells count="1">
    <mergeCell ref="B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B265-24F7-4618-A395-CD8B6275487C}">
  <dimension ref="A1:J7"/>
  <sheetViews>
    <sheetView workbookViewId="0">
      <selection activeCell="U15" sqref="U15"/>
    </sheetView>
  </sheetViews>
  <sheetFormatPr defaultColWidth="8.7109375" defaultRowHeight="15"/>
  <cols>
    <col min="1" max="1" width="11.7109375" customWidth="1"/>
    <col min="2" max="10" width="9.7109375" bestFit="1" customWidth="1"/>
    <col min="11" max="11" width="8.7109375" bestFit="1" customWidth="1"/>
  </cols>
  <sheetData>
    <row r="1" spans="1:10">
      <c r="A1" s="107" t="s">
        <v>18</v>
      </c>
      <c r="B1" s="107"/>
      <c r="C1" s="107"/>
      <c r="D1" s="107"/>
      <c r="E1" s="107"/>
      <c r="F1" s="107"/>
      <c r="G1" s="107"/>
      <c r="H1" s="107"/>
      <c r="I1" s="107"/>
      <c r="J1" s="108"/>
    </row>
    <row r="2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8.75">
      <c r="A3" s="28">
        <f>'Expected Return'!B68</f>
        <v>0.2472953143170154</v>
      </c>
      <c r="B3" s="28">
        <f>'Expected Return'!C68</f>
        <v>0.29948174145941231</v>
      </c>
      <c r="C3" s="28">
        <f>'Expected Return'!D68</f>
        <v>0.33980220649504922</v>
      </c>
      <c r="D3" s="28">
        <f>'Expected Return'!E68</f>
        <v>0.26853175067343665</v>
      </c>
      <c r="E3" s="28">
        <f>'Expected Return'!F68</f>
        <v>0.23648877116817144</v>
      </c>
      <c r="F3" s="28">
        <f>'Expected Return'!G68</f>
        <v>0.41224266154024941</v>
      </c>
      <c r="G3" s="28">
        <f>'Expected Return'!H68</f>
        <v>0.21448549220599075</v>
      </c>
      <c r="H3" s="28">
        <f>'Expected Return'!I68</f>
        <v>0.4849271067195397</v>
      </c>
      <c r="I3" s="28">
        <f>'Expected Return'!J68</f>
        <v>0.34281179083921143</v>
      </c>
      <c r="J3" s="28">
        <f>'Expected Return'!K68</f>
        <v>0.60552896536106982</v>
      </c>
    </row>
    <row r="7" spans="1:10">
      <c r="C7" s="12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1E7D-0B98-40D0-8C69-12898478C920}">
  <dimension ref="A1:J6"/>
  <sheetViews>
    <sheetView workbookViewId="0">
      <selection activeCell="A2" sqref="A2:A4"/>
    </sheetView>
  </sheetViews>
  <sheetFormatPr defaultRowHeight="15"/>
  <cols>
    <col min="1" max="1" width="16.85546875" bestFit="1" customWidth="1"/>
    <col min="2" max="3" width="13.42578125" bestFit="1" customWidth="1"/>
    <col min="4" max="4" width="17.28515625" bestFit="1" customWidth="1"/>
    <col min="5" max="5" width="17.28515625" customWidth="1"/>
    <col min="6" max="6" width="15.85546875" bestFit="1" customWidth="1"/>
    <col min="9" max="9" width="15.85546875" bestFit="1" customWidth="1"/>
  </cols>
  <sheetData>
    <row r="1" spans="1:10">
      <c r="A1" s="71"/>
      <c r="B1" s="71" t="s">
        <v>19</v>
      </c>
      <c r="C1" s="71" t="s">
        <v>20</v>
      </c>
      <c r="D1" s="71" t="s">
        <v>21</v>
      </c>
      <c r="E1" s="71" t="s">
        <v>22</v>
      </c>
      <c r="F1" s="71" t="s">
        <v>23</v>
      </c>
      <c r="G1" s="45"/>
      <c r="H1" s="45"/>
      <c r="I1" s="45"/>
      <c r="J1" s="45"/>
    </row>
    <row r="2" spans="1:10">
      <c r="A2" s="71" t="s">
        <v>24</v>
      </c>
      <c r="B2" s="80">
        <f>('Efficient portfolio frontier'!AD20-Ratios!J2)/'Efficient portfolio frontier'!AF20</f>
        <v>0.68427688991440039</v>
      </c>
      <c r="C2" s="76">
        <f>('Efficient portfolio frontier'!AD34-Ratios!J2)/'Efficient portfolio frontier'!AF34</f>
        <v>1.2717541048910845</v>
      </c>
      <c r="D2" s="71">
        <v>1.45</v>
      </c>
      <c r="E2" s="71">
        <v>0.88</v>
      </c>
      <c r="F2" s="71">
        <v>1.05</v>
      </c>
      <c r="G2" s="45"/>
      <c r="H2" s="45"/>
      <c r="I2" s="45" t="s">
        <v>25</v>
      </c>
      <c r="J2" s="46">
        <v>0.04</v>
      </c>
    </row>
    <row r="3" spans="1:10">
      <c r="A3" s="71" t="s">
        <v>26</v>
      </c>
      <c r="B3" s="72">
        <f>1.02*'Efficient portfolio frontier'!Z20+'Efficient portfolio frontier'!X20*1.03+'Efficient portfolio frontier'!W20*0.99+'Efficient portfolio frontier'!T20*1.09</f>
        <v>1.0276956676944429</v>
      </c>
      <c r="C3" s="72">
        <f>'Efficient portfolio frontier'!AB34*1.53+'Efficient portfolio frontier'!AA34*1.77+'Efficient portfolio frontier'!X34*1.03+'Efficient portfolio frontier'!W34*0.99+'Efficient portfolio frontier'!V34*1.21+'Efficient portfolio frontier'!T34*1.09</f>
        <v>1.2369563142933957</v>
      </c>
      <c r="D3" s="71">
        <v>0.98</v>
      </c>
      <c r="E3" s="71">
        <v>1.18</v>
      </c>
      <c r="F3" s="71">
        <v>1</v>
      </c>
      <c r="G3" s="45"/>
      <c r="H3" s="45"/>
      <c r="I3" s="45" t="s">
        <v>27</v>
      </c>
      <c r="J3" s="45"/>
    </row>
    <row r="4" spans="1:10">
      <c r="A4" s="71" t="s">
        <v>28</v>
      </c>
      <c r="B4" s="79">
        <f>'Efficient portfolio frontier'!AF20-(Ratios!J2+Ratios!B3*(J5-Ratios!J2))</f>
        <v>2.0888961230924458E-2</v>
      </c>
      <c r="C4" s="75">
        <f>'Efficient portfolio frontier'!AD34-(Ratios!J2+Ratios!C3*(Ratios!J5-Ratios!J2))</f>
        <v>0.18514103385679012</v>
      </c>
      <c r="D4" s="73">
        <v>3.0200000000000001E-2</v>
      </c>
      <c r="E4" s="73">
        <v>-1.3299999999999999E-2</v>
      </c>
      <c r="F4" s="73">
        <v>1.6999999999999999E-3</v>
      </c>
      <c r="G4" s="45"/>
      <c r="H4" s="45"/>
      <c r="I4" s="45"/>
      <c r="J4" s="45"/>
    </row>
    <row r="5" spans="1:10">
      <c r="A5" s="71" t="s">
        <v>29</v>
      </c>
      <c r="B5" s="78">
        <f>('Efficient portfolio frontier'!AD20-Ratios!J2)/Ratios!B3</f>
        <v>0.11581252723168338</v>
      </c>
      <c r="C5" s="78">
        <f>('Efficient portfolio frontier'!AD34-Ratios!J2)/Ratios!C3</f>
        <v>0.25967467461658167</v>
      </c>
      <c r="D5" s="71">
        <v>10.96</v>
      </c>
      <c r="E5" s="71">
        <v>12.58</v>
      </c>
      <c r="F5" s="71">
        <v>11.92</v>
      </c>
      <c r="G5" s="45"/>
      <c r="H5" s="45"/>
      <c r="I5" s="45" t="s">
        <v>30</v>
      </c>
      <c r="J5" s="46">
        <v>0.15</v>
      </c>
    </row>
    <row r="6" spans="1:10">
      <c r="A6" s="71" t="s">
        <v>31</v>
      </c>
      <c r="B6" s="74">
        <f>'Efficient portfolio frontier'!AF20</f>
        <v>0.17393548467731315</v>
      </c>
      <c r="C6" s="77">
        <f>'Efficient portfolio frontier'!AF34</f>
        <v>0.25256944498447076</v>
      </c>
      <c r="D6" s="73">
        <v>0.1593</v>
      </c>
      <c r="E6" s="73">
        <v>0.1883</v>
      </c>
      <c r="F6" s="73">
        <v>0.11459999999999999</v>
      </c>
      <c r="G6" s="45"/>
      <c r="H6" s="45"/>
      <c r="I6" s="45" t="s">
        <v>23</v>
      </c>
      <c r="J6" s="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7B6E-E7B7-4A03-9AFD-DDB801F100B7}">
  <dimension ref="A1:V31"/>
  <sheetViews>
    <sheetView topLeftCell="K1" workbookViewId="0">
      <selection activeCell="S26" sqref="S26:S27"/>
    </sheetView>
  </sheetViews>
  <sheetFormatPr defaultRowHeight="15"/>
  <cols>
    <col min="1" max="1" width="13.42578125" bestFit="1" customWidth="1"/>
    <col min="2" max="7" width="11.7109375" bestFit="1" customWidth="1"/>
    <col min="10" max="10" width="13.28515625" bestFit="1" customWidth="1"/>
    <col min="11" max="11" width="9" customWidth="1"/>
    <col min="12" max="12" width="12.28515625" bestFit="1" customWidth="1"/>
    <col min="13" max="13" width="17.28515625" bestFit="1" customWidth="1"/>
    <col min="14" max="14" width="11.85546875" bestFit="1" customWidth="1"/>
    <col min="15" max="15" width="15.85546875" bestFit="1" customWidth="1"/>
    <col min="19" max="19" width="28.5703125" bestFit="1" customWidth="1"/>
    <col min="20" max="20" width="36.5703125" bestFit="1" customWidth="1"/>
    <col min="21" max="21" width="17.140625" bestFit="1" customWidth="1"/>
    <col min="23" max="28" width="9.140625" bestFit="1" customWidth="1"/>
  </cols>
  <sheetData>
    <row r="1" spans="1:22" ht="18.75">
      <c r="A1" s="51" t="s">
        <v>32</v>
      </c>
      <c r="B1" s="52" t="s">
        <v>33</v>
      </c>
      <c r="C1" s="52" t="s">
        <v>34</v>
      </c>
      <c r="D1" s="52" t="s">
        <v>35</v>
      </c>
      <c r="E1" s="52" t="s">
        <v>36</v>
      </c>
      <c r="F1" s="52" t="s">
        <v>37</v>
      </c>
      <c r="G1" s="52" t="s">
        <v>38</v>
      </c>
      <c r="I1" s="50"/>
      <c r="J1" s="50"/>
      <c r="K1" s="50"/>
      <c r="L1" s="50"/>
      <c r="M1" s="50"/>
      <c r="N1" s="50"/>
      <c r="O1" s="50"/>
      <c r="P1" s="50"/>
      <c r="R1" s="50"/>
      <c r="S1" s="50"/>
      <c r="T1" s="50"/>
      <c r="U1" s="50"/>
      <c r="V1" s="50"/>
    </row>
    <row r="2" spans="1:22" ht="18.75">
      <c r="A2" s="62" t="s">
        <v>39</v>
      </c>
      <c r="B2" s="63"/>
      <c r="C2" s="64"/>
      <c r="D2" s="63"/>
      <c r="E2" s="63"/>
      <c r="F2" s="63"/>
      <c r="G2" s="63"/>
      <c r="I2" s="50"/>
      <c r="J2" s="50"/>
      <c r="K2" s="50"/>
      <c r="L2" s="50"/>
      <c r="M2" s="50"/>
      <c r="N2" s="50"/>
      <c r="O2" s="50"/>
      <c r="P2" s="50"/>
      <c r="R2" s="50"/>
      <c r="S2" s="67" t="s">
        <v>32</v>
      </c>
      <c r="T2" s="68" t="s">
        <v>33</v>
      </c>
      <c r="U2" s="68" t="s">
        <v>34</v>
      </c>
      <c r="V2" s="50"/>
    </row>
    <row r="3" spans="1:22">
      <c r="A3" s="50" t="s">
        <v>3</v>
      </c>
      <c r="B3" s="50"/>
      <c r="C3" s="57">
        <v>0.47501974157141491</v>
      </c>
      <c r="D3" s="50"/>
      <c r="E3" s="50"/>
      <c r="F3" s="50"/>
      <c r="G3" s="50"/>
      <c r="I3" s="50"/>
      <c r="J3" s="50"/>
      <c r="K3" s="50" t="s">
        <v>19</v>
      </c>
      <c r="L3" s="50" t="s">
        <v>20</v>
      </c>
      <c r="M3" s="50" t="s">
        <v>21</v>
      </c>
      <c r="N3" s="50" t="s">
        <v>22</v>
      </c>
      <c r="O3" s="50" t="s">
        <v>23</v>
      </c>
      <c r="P3" s="50"/>
      <c r="R3" s="50"/>
      <c r="S3" s="65" t="s">
        <v>39</v>
      </c>
      <c r="T3" s="66"/>
      <c r="U3" s="64"/>
      <c r="V3" s="50"/>
    </row>
    <row r="4" spans="1:22">
      <c r="A4" s="54" t="s">
        <v>9</v>
      </c>
      <c r="B4" s="54"/>
      <c r="C4" s="55">
        <v>0.1980803499155466</v>
      </c>
      <c r="D4" s="54"/>
      <c r="E4" s="54"/>
      <c r="F4" s="54"/>
      <c r="G4" s="54"/>
      <c r="I4" s="50"/>
      <c r="J4" s="61" t="s">
        <v>24</v>
      </c>
      <c r="K4" s="60">
        <v>0.68427688991440039</v>
      </c>
      <c r="L4" s="60">
        <v>1.2717541048910845</v>
      </c>
      <c r="M4" s="60">
        <v>1.45</v>
      </c>
      <c r="N4" s="60">
        <v>0.88</v>
      </c>
      <c r="O4" s="60">
        <v>1.05</v>
      </c>
      <c r="P4" s="50"/>
      <c r="R4" s="50"/>
      <c r="S4" s="61" t="s">
        <v>3</v>
      </c>
      <c r="T4" s="61"/>
      <c r="U4" s="56">
        <v>0.47501974157141491</v>
      </c>
      <c r="V4" s="50"/>
    </row>
    <row r="5" spans="1:22">
      <c r="A5" s="54" t="s">
        <v>4</v>
      </c>
      <c r="B5" s="54"/>
      <c r="C5" s="55">
        <v>0.14450369445422295</v>
      </c>
      <c r="D5" s="54"/>
      <c r="E5" s="54"/>
      <c r="F5" s="54"/>
      <c r="G5" s="54"/>
      <c r="I5" s="50"/>
      <c r="J5" s="61" t="s">
        <v>26</v>
      </c>
      <c r="K5" s="60">
        <v>1.0276956676944429</v>
      </c>
      <c r="L5" s="60">
        <v>1.2369563142933957</v>
      </c>
      <c r="M5" s="60">
        <v>0.98</v>
      </c>
      <c r="N5" s="60">
        <v>1.18</v>
      </c>
      <c r="O5" s="60">
        <v>1</v>
      </c>
      <c r="P5" s="50"/>
      <c r="R5" s="50"/>
      <c r="S5" s="61" t="s">
        <v>9</v>
      </c>
      <c r="T5" s="61"/>
      <c r="U5" s="56">
        <v>0.1980803499155466</v>
      </c>
      <c r="V5" s="50"/>
    </row>
    <row r="6" spans="1:22">
      <c r="A6" s="54" t="s">
        <v>5</v>
      </c>
      <c r="B6" s="54"/>
      <c r="C6" s="55">
        <v>0.12041573537610309</v>
      </c>
      <c r="D6" s="54"/>
      <c r="E6" s="54"/>
      <c r="F6" s="54"/>
      <c r="G6" s="54"/>
      <c r="I6" s="50"/>
      <c r="J6" s="61" t="s">
        <v>28</v>
      </c>
      <c r="K6" s="60">
        <v>2.0888961230924458E-2</v>
      </c>
      <c r="L6" s="60">
        <v>0.18514103385679012</v>
      </c>
      <c r="M6" s="60">
        <v>3.0200000000000001E-2</v>
      </c>
      <c r="N6" s="60">
        <v>-1.3299999999999999E-2</v>
      </c>
      <c r="O6" s="60">
        <v>1.6999999999999999E-3</v>
      </c>
      <c r="P6" s="50"/>
      <c r="R6" s="50"/>
      <c r="S6" s="61" t="s">
        <v>4</v>
      </c>
      <c r="T6" s="61"/>
      <c r="U6" s="56">
        <v>0.14450369445422295</v>
      </c>
      <c r="V6" s="50"/>
    </row>
    <row r="7" spans="1:22">
      <c r="A7" s="54" t="s">
        <v>8</v>
      </c>
      <c r="B7" s="54"/>
      <c r="C7" s="55">
        <v>3.5991036632313865E-2</v>
      </c>
      <c r="D7" s="54"/>
      <c r="E7" s="54"/>
      <c r="F7" s="54"/>
      <c r="G7" s="54"/>
      <c r="I7" s="50"/>
      <c r="J7" s="54" t="s">
        <v>29</v>
      </c>
      <c r="K7" s="59">
        <v>0.11581252723168338</v>
      </c>
      <c r="L7" s="59">
        <v>0.25967467461658167</v>
      </c>
      <c r="M7" s="59">
        <v>10.96</v>
      </c>
      <c r="N7" s="59">
        <v>12.58</v>
      </c>
      <c r="O7" s="59">
        <v>11.92</v>
      </c>
      <c r="P7" s="50"/>
      <c r="R7" s="50"/>
      <c r="S7" s="61" t="s">
        <v>5</v>
      </c>
      <c r="T7" s="61"/>
      <c r="U7" s="56">
        <v>0.12041573537610309</v>
      </c>
      <c r="V7" s="50"/>
    </row>
    <row r="8" spans="1:22">
      <c r="A8" s="54" t="s">
        <v>1</v>
      </c>
      <c r="B8" s="54"/>
      <c r="C8" s="55">
        <v>2.5989442050399002E-2</v>
      </c>
      <c r="D8" s="54"/>
      <c r="E8" s="54"/>
      <c r="F8" s="54"/>
      <c r="G8" s="54"/>
      <c r="H8" s="49"/>
      <c r="I8" s="50"/>
      <c r="J8" s="50"/>
      <c r="K8" s="50"/>
      <c r="L8" s="50"/>
      <c r="M8" s="50"/>
      <c r="N8" s="50"/>
      <c r="O8" s="50"/>
      <c r="P8" s="50"/>
      <c r="R8" s="50"/>
      <c r="S8" s="61" t="s">
        <v>8</v>
      </c>
      <c r="T8" s="61"/>
      <c r="U8" s="56">
        <v>3.5991036632313865E-2</v>
      </c>
      <c r="V8" s="50"/>
    </row>
    <row r="9" spans="1:22">
      <c r="A9" s="54" t="s">
        <v>2</v>
      </c>
      <c r="B9" s="54"/>
      <c r="C9" s="55">
        <v>0</v>
      </c>
      <c r="D9" s="54"/>
      <c r="E9" s="54"/>
      <c r="F9" s="54"/>
      <c r="G9" s="54"/>
      <c r="I9" s="50"/>
      <c r="J9" s="50"/>
      <c r="K9" s="50"/>
      <c r="L9" s="50"/>
      <c r="M9" s="50"/>
      <c r="N9" s="50"/>
      <c r="O9" s="50"/>
      <c r="P9" s="50"/>
      <c r="R9" s="50"/>
      <c r="S9" s="61" t="s">
        <v>1</v>
      </c>
      <c r="T9" s="61"/>
      <c r="U9" s="56">
        <v>2.5989442050399002E-2</v>
      </c>
      <c r="V9" s="50"/>
    </row>
    <row r="10" spans="1:22">
      <c r="A10" s="54" t="s">
        <v>6</v>
      </c>
      <c r="B10" s="54"/>
      <c r="C10" s="55">
        <v>0</v>
      </c>
      <c r="D10" s="54"/>
      <c r="E10" s="54"/>
      <c r="F10" s="54"/>
      <c r="G10" s="54"/>
      <c r="R10" s="50"/>
      <c r="S10" s="61" t="s">
        <v>2</v>
      </c>
      <c r="T10" s="61"/>
      <c r="U10" s="56">
        <v>0</v>
      </c>
      <c r="V10" s="50"/>
    </row>
    <row r="11" spans="1:22">
      <c r="A11" s="54" t="s">
        <v>7</v>
      </c>
      <c r="B11" s="54"/>
      <c r="C11" s="55">
        <v>0</v>
      </c>
      <c r="D11" s="54"/>
      <c r="E11" s="54"/>
      <c r="F11" s="54"/>
      <c r="G11" s="54"/>
      <c r="J11" t="e" vm="1">
        <v>#VALUE!</v>
      </c>
      <c r="L11" s="58"/>
      <c r="R11" s="50"/>
      <c r="S11" s="61" t="s">
        <v>6</v>
      </c>
      <c r="T11" s="61"/>
      <c r="U11" s="56">
        <v>0</v>
      </c>
      <c r="V11" s="50"/>
    </row>
    <row r="12" spans="1:22">
      <c r="A12" s="54" t="s">
        <v>10</v>
      </c>
      <c r="B12" s="54"/>
      <c r="C12" s="56">
        <v>0</v>
      </c>
      <c r="D12" s="54"/>
      <c r="E12" s="54"/>
      <c r="F12" s="54"/>
      <c r="G12" s="54"/>
      <c r="R12" s="50"/>
      <c r="S12" s="61" t="s">
        <v>7</v>
      </c>
      <c r="T12" s="61"/>
      <c r="U12" s="56">
        <v>0</v>
      </c>
      <c r="V12" s="50"/>
    </row>
    <row r="13" spans="1:22">
      <c r="A13" s="62"/>
      <c r="B13" s="62"/>
      <c r="C13" s="53"/>
      <c r="D13" s="62"/>
      <c r="E13" s="62"/>
      <c r="F13" s="62"/>
      <c r="G13" s="62"/>
      <c r="J13" s="50"/>
      <c r="R13" s="50"/>
      <c r="S13" s="54" t="s">
        <v>10</v>
      </c>
      <c r="T13" s="54"/>
      <c r="U13" s="55">
        <v>0</v>
      </c>
      <c r="V13" s="50"/>
    </row>
    <row r="14" spans="1:22">
      <c r="A14" s="50"/>
      <c r="B14" s="50"/>
      <c r="C14" s="50"/>
      <c r="D14" s="50"/>
      <c r="E14" s="50"/>
      <c r="F14" s="50"/>
      <c r="G14" s="50"/>
      <c r="R14" s="50"/>
      <c r="S14" s="50"/>
      <c r="T14" s="50"/>
      <c r="U14" s="50"/>
      <c r="V14" s="50"/>
    </row>
    <row r="15" spans="1:22">
      <c r="A15" s="48"/>
      <c r="B15" s="48"/>
      <c r="C15" s="48"/>
      <c r="D15" s="48"/>
      <c r="E15" s="48"/>
      <c r="F15" s="48"/>
      <c r="G15" s="48"/>
    </row>
    <row r="16" spans="1:22">
      <c r="A16" s="47"/>
      <c r="B16" s="47"/>
      <c r="C16" s="47"/>
      <c r="D16" s="47"/>
      <c r="E16" s="47"/>
      <c r="F16" s="47"/>
      <c r="G16" s="47"/>
      <c r="L16" t="e" vm="1">
        <v>#VALUE!</v>
      </c>
    </row>
    <row r="17" spans="1:22">
      <c r="A17" s="47"/>
      <c r="B17" s="47"/>
      <c r="C17" s="47"/>
      <c r="D17" s="47"/>
      <c r="E17" s="47"/>
      <c r="F17" s="47"/>
      <c r="G17" s="47"/>
    </row>
    <row r="18" spans="1:22">
      <c r="A18" s="47"/>
      <c r="B18" s="47"/>
      <c r="C18" s="47"/>
      <c r="D18" s="47"/>
      <c r="E18" s="47" t="s">
        <v>33</v>
      </c>
      <c r="F18" s="47"/>
      <c r="G18" s="47"/>
    </row>
    <row r="19" spans="1:22">
      <c r="A19" s="47"/>
      <c r="B19" s="47"/>
      <c r="C19" s="47"/>
      <c r="D19" s="47"/>
      <c r="E19" s="47"/>
      <c r="F19" s="47"/>
      <c r="G19" s="47"/>
    </row>
    <row r="20" spans="1:22">
      <c r="A20" s="47"/>
      <c r="B20" s="47"/>
      <c r="C20" s="47"/>
      <c r="D20" s="47"/>
      <c r="E20" s="47"/>
      <c r="F20" s="47"/>
      <c r="G20" s="47"/>
      <c r="L20" t="e" vm="1">
        <v>#VALUE!</v>
      </c>
    </row>
    <row r="21" spans="1:22">
      <c r="A21" s="47"/>
      <c r="B21" s="47"/>
      <c r="C21" s="47"/>
      <c r="D21" s="47"/>
      <c r="E21" s="47"/>
      <c r="F21" s="47"/>
      <c r="G21" s="47"/>
      <c r="L21" t="e" vm="1">
        <v>#VALUE!</v>
      </c>
    </row>
    <row r="22" spans="1:22">
      <c r="L22" t="e" vm="1">
        <v>#VALUE!</v>
      </c>
      <c r="R22" s="50"/>
      <c r="S22" s="50"/>
      <c r="T22" s="50"/>
      <c r="U22" s="50"/>
      <c r="V22" s="50"/>
    </row>
    <row r="23" spans="1:22">
      <c r="L23" t="e" vm="1">
        <v>#VALUE!</v>
      </c>
      <c r="R23" s="50"/>
      <c r="S23" s="50"/>
      <c r="T23" s="50"/>
      <c r="U23" s="50"/>
      <c r="V23" s="50"/>
    </row>
    <row r="24" spans="1:22">
      <c r="R24" s="50"/>
      <c r="S24" s="83" t="s">
        <v>40</v>
      </c>
      <c r="T24" s="84" t="s">
        <v>41</v>
      </c>
      <c r="U24" s="83" t="s">
        <v>42</v>
      </c>
      <c r="V24" s="50"/>
    </row>
    <row r="25" spans="1:22" ht="29.25">
      <c r="R25" s="50"/>
      <c r="S25" s="85" t="s">
        <v>43</v>
      </c>
      <c r="T25" s="86" t="s">
        <v>44</v>
      </c>
      <c r="U25" s="87" t="s">
        <v>45</v>
      </c>
      <c r="V25" s="50"/>
    </row>
    <row r="26" spans="1:22">
      <c r="R26" s="50"/>
      <c r="S26" s="85" t="s">
        <v>46</v>
      </c>
      <c r="T26" s="86" t="s">
        <v>47</v>
      </c>
      <c r="U26" s="87" t="s">
        <v>48</v>
      </c>
      <c r="V26" s="50"/>
    </row>
    <row r="27" spans="1:22">
      <c r="R27" s="50"/>
      <c r="S27" s="85" t="s">
        <v>49</v>
      </c>
      <c r="T27" s="86" t="s">
        <v>50</v>
      </c>
      <c r="U27" s="87" t="s">
        <v>51</v>
      </c>
      <c r="V27" s="50"/>
    </row>
    <row r="28" spans="1:22">
      <c r="R28" s="50"/>
      <c r="S28" s="88" t="s">
        <v>52</v>
      </c>
      <c r="T28" s="89" t="s">
        <v>53</v>
      </c>
      <c r="U28" s="90">
        <v>0</v>
      </c>
      <c r="V28" s="50"/>
    </row>
    <row r="29" spans="1:22">
      <c r="R29" s="50"/>
      <c r="S29" s="50"/>
      <c r="T29" s="50"/>
      <c r="U29" s="50"/>
      <c r="V29" s="50"/>
    </row>
    <row r="30" spans="1:22">
      <c r="R30" s="50"/>
      <c r="S30" s="50"/>
      <c r="T30" s="50"/>
      <c r="U30" s="50"/>
      <c r="V30" s="50"/>
    </row>
    <row r="31" spans="1:22">
      <c r="R31" s="50"/>
      <c r="S31" s="50"/>
      <c r="T31" s="50"/>
      <c r="U31" s="50"/>
      <c r="V31" s="50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BD38-39B1-4CA5-825E-4EFB59A4B223}">
  <dimension ref="A1:AX69"/>
  <sheetViews>
    <sheetView topLeftCell="AG11" workbookViewId="0">
      <selection activeCell="AU33" sqref="AU33"/>
    </sheetView>
  </sheetViews>
  <sheetFormatPr defaultRowHeight="15"/>
  <cols>
    <col min="1" max="1" width="25.5703125" bestFit="1" customWidth="1"/>
    <col min="14" max="14" width="9.42578125" customWidth="1"/>
    <col min="15" max="15" width="9.42578125" bestFit="1" customWidth="1"/>
    <col min="16" max="16" width="7.42578125" bestFit="1" customWidth="1"/>
    <col min="20" max="20" width="20.140625" bestFit="1" customWidth="1"/>
    <col min="21" max="21" width="36.5703125" bestFit="1" customWidth="1"/>
    <col min="25" max="25" width="11.28515625" bestFit="1" customWidth="1"/>
    <col min="26" max="26" width="33.85546875" bestFit="1" customWidth="1"/>
    <col min="27" max="27" width="24.5703125" bestFit="1" customWidth="1"/>
    <col min="28" max="28" width="23.42578125" bestFit="1" customWidth="1"/>
    <col min="29" max="29" width="13.85546875" bestFit="1" customWidth="1"/>
    <col min="30" max="30" width="33.85546875" bestFit="1" customWidth="1"/>
    <col min="31" max="31" width="24.5703125" bestFit="1" customWidth="1"/>
    <col min="32" max="32" width="23.42578125" bestFit="1" customWidth="1"/>
    <col min="33" max="33" width="13.85546875" bestFit="1" customWidth="1"/>
    <col min="36" max="36" width="21.140625" bestFit="1" customWidth="1"/>
    <col min="46" max="46" width="17.85546875" bestFit="1" customWidth="1"/>
    <col min="48" max="48" width="62.140625" customWidth="1"/>
  </cols>
  <sheetData>
    <row r="1" spans="1:43" ht="29.25">
      <c r="A1" s="7"/>
      <c r="B1" s="109" t="s">
        <v>11</v>
      </c>
      <c r="C1" s="110"/>
      <c r="D1" s="110"/>
      <c r="E1" s="110"/>
      <c r="F1" s="110"/>
      <c r="G1" s="110"/>
      <c r="H1" s="110"/>
      <c r="I1" s="110"/>
      <c r="J1" s="110"/>
      <c r="K1" s="111"/>
      <c r="N1" s="69" t="s">
        <v>3</v>
      </c>
      <c r="O1" s="69" t="s">
        <v>9</v>
      </c>
      <c r="P1" s="69" t="s">
        <v>4</v>
      </c>
      <c r="Q1" s="69" t="s">
        <v>5</v>
      </c>
      <c r="R1" s="69" t="s">
        <v>8</v>
      </c>
      <c r="S1" s="69" t="s">
        <v>1</v>
      </c>
      <c r="T1" s="69" t="s">
        <v>54</v>
      </c>
      <c r="U1" s="70" t="s">
        <v>55</v>
      </c>
      <c r="W1" s="69"/>
    </row>
    <row r="2" spans="1:43">
      <c r="A2" s="7" t="s">
        <v>0</v>
      </c>
      <c r="B2" s="69" t="s">
        <v>1</v>
      </c>
      <c r="C2" s="69" t="s">
        <v>2</v>
      </c>
      <c r="D2" s="69" t="s">
        <v>3</v>
      </c>
      <c r="E2" s="69" t="s">
        <v>4</v>
      </c>
      <c r="F2" s="69" t="s">
        <v>5</v>
      </c>
      <c r="G2" s="69" t="s">
        <v>6</v>
      </c>
      <c r="H2" s="69" t="s">
        <v>7</v>
      </c>
      <c r="I2" s="69" t="s">
        <v>8</v>
      </c>
      <c r="J2" s="69" t="s">
        <v>9</v>
      </c>
      <c r="K2" s="69" t="s">
        <v>10</v>
      </c>
      <c r="M2">
        <v>2020</v>
      </c>
      <c r="N2" s="4">
        <f>(((1+AVERAGE(D3:D6))^12)-1)*$O13</f>
        <v>0.45380929226021749</v>
      </c>
      <c r="O2" s="4">
        <f>(((1+AVERAGE(J3:J6))^12)-1)*19.81%</f>
        <v>9.8416798856349741E-3</v>
      </c>
      <c r="P2" s="4">
        <f>(((1+AVERAGE(E3:E6))^12)-1)*14.45%</f>
        <v>0.13069951640680053</v>
      </c>
      <c r="Q2" s="4">
        <f>(((1+AVERAGE(F3:F6))^12)-1)*12.04%</f>
        <v>-2.1707851153236143E-2</v>
      </c>
      <c r="R2" s="4">
        <f>(((1+AVERAGE(I3:I6))^12)-1)*3.6%</f>
        <v>-4.1086815435925567E-3</v>
      </c>
      <c r="S2" s="4">
        <f>(((1+AVERAGE(B3:B6))^12)-1)*2.6%</f>
        <v>1.24167369868982E-2</v>
      </c>
      <c r="T2" s="4">
        <f>SUM(N2:S2)</f>
        <v>0.58095069284272249</v>
      </c>
      <c r="U2">
        <f>10000*(1+T2)</f>
        <v>15809.506928427223</v>
      </c>
      <c r="W2" s="4"/>
      <c r="X2" s="4"/>
    </row>
    <row r="3" spans="1:43">
      <c r="A3" s="8">
        <v>44075</v>
      </c>
      <c r="B3" s="4">
        <f>LN('Historical Data'!B4/'Historical Data'!B3)</f>
        <v>-6.1887453874919993E-2</v>
      </c>
      <c r="C3" s="4">
        <f>LN('Historical Data'!C4/'Historical Data'!C3)</f>
        <v>-3.640893151011803E-2</v>
      </c>
      <c r="D3" s="4">
        <f>LN('Historical Data'!D4/'Historical Data'!D3)</f>
        <v>-3.2081465850851081E-2</v>
      </c>
      <c r="E3" s="4">
        <f>LN('Historical Data'!E4/'Historical Data'!E3)</f>
        <v>9.7757422471977648E-2</v>
      </c>
      <c r="F3" s="4">
        <f>LN('Historical Data'!F4/'Historical Data'!F3)</f>
        <v>-0.15836842750215305</v>
      </c>
      <c r="G3" s="4">
        <f>LN('Historical Data'!G4/'Historical Data'!G3)</f>
        <v>4.6091129526474447E-3</v>
      </c>
      <c r="H3" s="4">
        <f>LN('Historical Data'!H4/'Historical Data'!H3)</f>
        <v>-3.8086154811212615E-2</v>
      </c>
      <c r="I3" s="4">
        <f>LN('Historical Data'!I4/'Historical Data'!I3)</f>
        <v>-7.6202872552745868E-2</v>
      </c>
      <c r="J3" s="4">
        <f>LN('Historical Data'!J4/'Historical Data'!J3)</f>
        <v>-6.2018299215212777E-2</v>
      </c>
      <c r="K3" s="4">
        <f>LN('Historical Data'!K4/'Historical Data'!K3)</f>
        <v>-0.100371310786385</v>
      </c>
      <c r="M3">
        <v>2021</v>
      </c>
      <c r="N3" s="4">
        <f>(((1+AVERAGE(D7:D18))^12)-1)*47.5%</f>
        <v>0.15886573627743225</v>
      </c>
      <c r="O3" s="4">
        <f>(((1+AVERAGE(J7:J18))^12)-1)*19.81%</f>
        <v>7.0993214200682525E-2</v>
      </c>
      <c r="P3" s="81">
        <f>(((1+AVERAGE(E7:E18))^12)-1)*14.45%</f>
        <v>6.8143774920413541E-2</v>
      </c>
      <c r="Q3" s="4">
        <f>(((1+AVERAGE(F7:F18))^12)-1)*12.04%</f>
        <v>2.7146384567587965E-2</v>
      </c>
      <c r="R3" s="4">
        <f>(((1+AVERAGE(I7:I18))^12)-1)*3.6%</f>
        <v>3.0827295302262404E-2</v>
      </c>
      <c r="S3" s="4">
        <f>(((1+AVERAGE(B7:B18))^12)-1)*2.6%</f>
        <v>8.5320901498409756E-3</v>
      </c>
      <c r="T3" s="4">
        <f>SUM(N3:S3)</f>
        <v>0.36450849541821967</v>
      </c>
      <c r="U3">
        <f>U2*(1+T3)</f>
        <v>21572.206512212149</v>
      </c>
      <c r="W3" s="4"/>
      <c r="X3" s="4"/>
    </row>
    <row r="4" spans="1:43">
      <c r="A4" s="8">
        <v>44105</v>
      </c>
      <c r="B4" s="4">
        <f>LN('Historical Data'!B5/'Historical Data'!B4)</f>
        <v>8.9480935871332171E-2</v>
      </c>
      <c r="C4" s="4">
        <f>LN('Historical Data'!C5/'Historical Data'!C4)</f>
        <v>4.2522834707578269E-2</v>
      </c>
      <c r="D4" s="4">
        <f>LN('Historical Data'!D5/'Historical Data'!D4)</f>
        <v>0.13853124811317888</v>
      </c>
      <c r="E4" s="4">
        <f>LN('Historical Data'!E5/'Historical Data'!E4)</f>
        <v>8.2104808530992626E-2</v>
      </c>
      <c r="F4" s="4">
        <f>LN('Historical Data'!F5/'Historical Data'!F4)</f>
        <v>0.15461168356274446</v>
      </c>
      <c r="G4" s="4">
        <f>LN('Historical Data'!G5/'Historical Data'!G4)</f>
        <v>5.1337079631452377E-2</v>
      </c>
      <c r="H4" s="4">
        <f>LN('Historical Data'!H5/'Historical Data'!H4)</f>
        <v>5.5710967336991574E-2</v>
      </c>
      <c r="I4" s="4">
        <f>LN('Historical Data'!I5/'Historical Data'!I4)</f>
        <v>6.6922469687881028E-2</v>
      </c>
      <c r="J4" s="4">
        <f>LN('Historical Data'!J5/'Historical Data'!J4)</f>
        <v>3.2331157417114433E-2</v>
      </c>
      <c r="K4" s="4">
        <f>LN('Historical Data'!K5/'Historical Data'!K4)</f>
        <v>0.38030826048744676</v>
      </c>
      <c r="M4">
        <v>2022</v>
      </c>
      <c r="N4" s="4">
        <f>(((1+AVERAGE(E19:E30))^12)-1)*47.5%</f>
        <v>-0.12945777491721469</v>
      </c>
      <c r="O4" s="4">
        <f>(((1+AVERAGE(J19:J30))^12)-1)*19.81%</f>
        <v>2.1467473303373796E-2</v>
      </c>
      <c r="P4" s="4">
        <f>(((1+AVERAGE(E19:E30))^12)-1)*14.45%</f>
        <v>-3.9382417843236893E-2</v>
      </c>
      <c r="Q4" s="4">
        <f>(((1+AVERAGE(F19:F30))^12)-1)*12.04%</f>
        <v>-4.2468574173263416E-3</v>
      </c>
      <c r="R4" s="4">
        <f>(((1+AVERAGE(I19:I30))^12)-1)*3.6%</f>
        <v>-7.3105660255303549E-3</v>
      </c>
      <c r="S4" s="4">
        <f>(((1+AVERAGE(B19:B30))^12)-1)*2.6%</f>
        <v>-4.4424701775276831E-3</v>
      </c>
      <c r="T4" s="4">
        <f>SUM(N4:S4)</f>
        <v>-0.16337261307746215</v>
      </c>
      <c r="U4">
        <f>U3*(1+T4)</f>
        <v>18047.898764465404</v>
      </c>
      <c r="W4" s="4"/>
      <c r="X4" s="4"/>
    </row>
    <row r="5" spans="1:43">
      <c r="A5" s="8">
        <v>44136</v>
      </c>
      <c r="B5" s="4">
        <f>LN('Historical Data'!B6/'Historical Data'!B5)</f>
        <v>0.11019535320538647</v>
      </c>
      <c r="C5" s="4">
        <f>LN('Historical Data'!C6/'Historical Data'!C5)</f>
        <v>2.767193375733203E-2</v>
      </c>
      <c r="D5" s="4">
        <f>LN('Historical Data'!D6/'Historical Data'!D5)</f>
        <v>8.6469641104843731E-2</v>
      </c>
      <c r="E5" s="4">
        <f>LN('Historical Data'!E6/'Historical Data'!E5)</f>
        <v>-1.0034977409553211E-3</v>
      </c>
      <c r="F5" s="4">
        <f>LN('Historical Data'!F6/'Historical Data'!F5)</f>
        <v>5.8939717402266327E-2</v>
      </c>
      <c r="G5" s="4">
        <f>LN('Historical Data'!G6/'Historical Data'!G5)</f>
        <v>-1.3851286473141782E-2</v>
      </c>
      <c r="H5" s="4">
        <f>LN('Historical Data'!H6/'Historical Data'!H5)</f>
        <v>4.0879423675771034E-2</v>
      </c>
      <c r="I5" s="4">
        <f>LN('Historical Data'!I6/'Historical Data'!I5)</f>
        <v>-2.6195775346695586E-2</v>
      </c>
      <c r="J5" s="4">
        <f>LN('Historical Data'!J6/'Historical Data'!J5)</f>
        <v>0.11400258924071206</v>
      </c>
      <c r="K5" s="4">
        <f>LN('Historical Data'!K6/'Historical Data'!K5)</f>
        <v>0.21773061912596831</v>
      </c>
      <c r="M5">
        <v>2023</v>
      </c>
      <c r="N5" s="4">
        <f>(((1+AVERAGE(D31:D42))^12)-1)*47.5%</f>
        <v>0.48453739325197964</v>
      </c>
      <c r="O5" s="4">
        <f>(((1+AVERAGE(J31:J42))^12)-1)*19.81%</f>
        <v>5.5201673182470601E-2</v>
      </c>
      <c r="P5" s="4">
        <f>(((1+AVERAGE(E31:E42))^12)-1)*14.45%</f>
        <v>5.930401450965582E-2</v>
      </c>
      <c r="Q5" s="4">
        <f>(((1+AVERAGE(F31:F42))^12)-1)*12.04%</f>
        <v>2.6197457018885918E-2</v>
      </c>
      <c r="R5" s="4">
        <f>(((1+AVERAGE(I31:I42))^12)-1)*3.6%</f>
        <v>7.1718214616803E-2</v>
      </c>
      <c r="S5" s="4">
        <f>(((1+AVERAGE(B31:B42))^12)-1)*2.6%</f>
        <v>7.326966455457805E-3</v>
      </c>
      <c r="T5" s="4">
        <f>SUM(N5:S5)</f>
        <v>0.70428571903525272</v>
      </c>
      <c r="U5">
        <f>U4*(1+T5)</f>
        <v>30758.776122872372</v>
      </c>
      <c r="W5" s="4"/>
      <c r="X5" s="4"/>
    </row>
    <row r="6" spans="1:43">
      <c r="A6" s="8">
        <v>44166</v>
      </c>
      <c r="B6" s="4">
        <f>LN('Historical Data'!B7/'Historical Data'!B6)</f>
        <v>-5.5166637953627468E-3</v>
      </c>
      <c r="C6" s="4">
        <f>LN('Historical Data'!C7/'Historical Data'!C6)</f>
        <v>-1.5698598618990936E-2</v>
      </c>
      <c r="D6" s="4">
        <f>LN('Historical Data'!D7/'Historical Data'!D6)</f>
        <v>3.6966629641605048E-2</v>
      </c>
      <c r="E6" s="4">
        <f>LN('Historical Data'!E7/'Historical Data'!E6)</f>
        <v>4.1748863215721882E-2</v>
      </c>
      <c r="F6" s="4">
        <f>LN('Historical Data'!F7/'Historical Data'!F6)</f>
        <v>-0.12090838424878265</v>
      </c>
      <c r="G6" s="4">
        <f>LN('Historical Data'!G7/'Historical Data'!G6)</f>
        <v>-5.5819713351147542E-2</v>
      </c>
      <c r="H6" s="4">
        <f>LN('Historical Data'!H7/'Historical Data'!H6)</f>
        <v>4.1997263060384232E-2</v>
      </c>
      <c r="I6" s="4">
        <f>LN('Historical Data'!I7/'Historical Data'!I6)</f>
        <v>-4.7155749199687185E-3</v>
      </c>
      <c r="J6" s="4">
        <f>LN('Historical Data'!J7/'Historical Data'!J6)</f>
        <v>-6.8120852039201096E-2</v>
      </c>
      <c r="K6" s="4">
        <f>LN('Historical Data'!K7/'Historical Data'!K6)</f>
        <v>0.11734378202329922</v>
      </c>
      <c r="M6">
        <v>2024</v>
      </c>
      <c r="N6" s="4">
        <f>(((1+AVERAGE(D43:D54))^12)-1)*47.5%</f>
        <v>0.41285187746113577</v>
      </c>
      <c r="O6" s="4">
        <f>(((1+AVERAGE(J43:J54))^12)-1)*19.81%</f>
        <v>0.10487483399032367</v>
      </c>
      <c r="P6" s="4">
        <f>(((1+AVERAGE(E43:E54))^12)-1)*14.45%</f>
        <v>6.5452882784433133E-2</v>
      </c>
      <c r="Q6" s="4">
        <f>(((1+AVERAGE(F43:F54))^12)-1)*12.04%</f>
        <v>2.903165128175636E-2</v>
      </c>
      <c r="R6" s="4">
        <f>(((1+AVERAGE(I43:I54))^12)-1)*3.6%</f>
        <v>3.3021960870593739E-2</v>
      </c>
      <c r="S6" s="4">
        <f>(((1+AVERAGE(B43:B54))^12)-1)*2.6%</f>
        <v>7.3516317391837281E-3</v>
      </c>
      <c r="T6" s="4">
        <f>SUM(N6:S6)</f>
        <v>0.6525848381274264</v>
      </c>
      <c r="U6">
        <f>U5*(1+T6)</f>
        <v>50831.487060014784</v>
      </c>
      <c r="W6" s="4"/>
      <c r="X6" s="4"/>
      <c r="AI6" s="50"/>
      <c r="AJ6" s="50"/>
      <c r="AK6" s="50"/>
      <c r="AL6" s="50"/>
      <c r="AM6" s="50"/>
      <c r="AN6" s="50"/>
      <c r="AO6" s="50"/>
      <c r="AP6" s="50"/>
      <c r="AQ6" s="50"/>
    </row>
    <row r="7" spans="1:43">
      <c r="A7" s="8">
        <v>44197</v>
      </c>
      <c r="B7" s="4">
        <f>LN('Historical Data'!B8/'Historical Data'!B7)</f>
        <v>-8.4561528241633863E-2</v>
      </c>
      <c r="C7" s="4">
        <f>LN('Historical Data'!C8/'Historical Data'!C7)</f>
        <v>-3.5967573575716387E-2</v>
      </c>
      <c r="D7" s="4">
        <f>LN('Historical Data'!D8/'Historical Data'!D7)</f>
        <v>4.2097648104560591E-2</v>
      </c>
      <c r="E7" s="4">
        <f>LN('Historical Data'!E8/'Historical Data'!E7)</f>
        <v>0.10117022946559021</v>
      </c>
      <c r="F7" s="4">
        <f>LN('Historical Data'!F8/'Historical Data'!F7)</f>
        <v>0.11348062161920829</v>
      </c>
      <c r="G7" s="4">
        <f>LN('Historical Data'!G8/'Historical Data'!G7)</f>
        <v>-2.7524014092933815E-3</v>
      </c>
      <c r="H7" s="4">
        <f>LN('Historical Data'!H8/'Historical Data'!H7)</f>
        <v>1.8091945866774556E-3</v>
      </c>
      <c r="I7" s="4">
        <f>LN('Historical Data'!I8/'Historical Data'!I7)</f>
        <v>5.4293258097365821E-2</v>
      </c>
      <c r="J7" s="4">
        <f>LN('Historical Data'!J8/'Historical Data'!J7)</f>
        <v>6.9153807139363865E-2</v>
      </c>
      <c r="K7" s="4">
        <f>LN('Historical Data'!K8/'Historical Data'!K7)</f>
        <v>-0.16103804099642244</v>
      </c>
      <c r="M7">
        <v>2025</v>
      </c>
      <c r="N7" s="4">
        <f>(((1+AVERAGE(D55:D63))^12)-1)*47.5%</f>
        <v>0.40821342244425873</v>
      </c>
      <c r="O7" s="4">
        <f>(((1+AVERAGE(J55:J63))^12)-1)*19.81%</f>
        <v>0.24250313844072247</v>
      </c>
      <c r="P7" s="4">
        <f>(((1+AVERAGE(E55:E63))^12)-1)*14.45%</f>
        <v>4.6655330158779013E-2</v>
      </c>
      <c r="Q7" s="4">
        <f>(((1+AVERAGE(F55:F63))^12)-1)*12.04%</f>
        <v>-6.9065823961089669E-4</v>
      </c>
      <c r="R7" s="4">
        <f>(((1+AVERAGE(I55:I63))^12)-1)*3.6%</f>
        <v>2.5843522964769394E-2</v>
      </c>
      <c r="S7" s="4">
        <f>(((1+AVERAGE(B55:B63))^12)-1)*2.6%</f>
        <v>1.8212167433195991E-3</v>
      </c>
      <c r="T7" s="4">
        <f>SUM(N7:S7)</f>
        <v>0.72434597251223831</v>
      </c>
      <c r="U7">
        <f>U6*(1+T7)</f>
        <v>87651.06998874445</v>
      </c>
      <c r="W7" s="4"/>
      <c r="X7" s="4"/>
      <c r="Y7" s="16" t="s">
        <v>56</v>
      </c>
      <c r="Z7" s="16" t="s">
        <v>57</v>
      </c>
      <c r="AA7" s="16" t="s">
        <v>58</v>
      </c>
      <c r="AB7" s="16" t="s">
        <v>59</v>
      </c>
      <c r="AC7" t="s">
        <v>60</v>
      </c>
      <c r="AD7" s="16" t="s">
        <v>61</v>
      </c>
      <c r="AE7" s="16" t="s">
        <v>22</v>
      </c>
      <c r="AF7" s="16" t="s">
        <v>62</v>
      </c>
      <c r="AG7" t="s">
        <v>60</v>
      </c>
      <c r="AI7" s="50"/>
      <c r="AJ7" s="50"/>
      <c r="AK7" s="50"/>
      <c r="AL7" s="50"/>
      <c r="AM7" s="50"/>
      <c r="AN7" s="50"/>
      <c r="AO7" s="50"/>
      <c r="AP7" s="50"/>
      <c r="AQ7" s="50"/>
    </row>
    <row r="8" spans="1:43">
      <c r="A8" s="8">
        <v>44228</v>
      </c>
      <c r="B8" s="4">
        <f>LN('Historical Data'!B9/'Historical Data'!B8)</f>
        <v>8.8054105487271311E-3</v>
      </c>
      <c r="C8" s="4">
        <f>LN('Historical Data'!C9/'Historical Data'!C8)</f>
        <v>3.7174661532602977E-4</v>
      </c>
      <c r="D8" s="4">
        <f>LN('Historical Data'!D9/'Historical Data'!D8)</f>
        <v>-1.3304413628523228E-2</v>
      </c>
      <c r="E8" s="4">
        <f>LN('Historical Data'!E9/'Historical Data'!E8)</f>
        <v>1.9886013250264397E-2</v>
      </c>
      <c r="F8" s="4">
        <f>LN('Historical Data'!F9/'Historical Data'!F8)</f>
        <v>6.1978113625538673E-3</v>
      </c>
      <c r="G8" s="4">
        <f>LN('Historical Data'!G9/'Historical Data'!G8)</f>
        <v>0.13389503692622345</v>
      </c>
      <c r="H8" s="4">
        <f>LN('Historical Data'!H9/'Historical Data'!H8)</f>
        <v>1.6783527558111161E-2</v>
      </c>
      <c r="I8" s="4">
        <f>LN('Historical Data'!I9/'Historical Data'!I8)</f>
        <v>-2.7068136054657993E-2</v>
      </c>
      <c r="J8" s="4">
        <f>LN('Historical Data'!J9/'Historical Data'!J8)</f>
        <v>8.4100588802992329E-2</v>
      </c>
      <c r="K8" s="4">
        <f>LN('Historical Data'!K9/'Historical Data'!K8)</f>
        <v>-1.1270077528446894E-2</v>
      </c>
      <c r="Y8">
        <v>2020</v>
      </c>
      <c r="AD8">
        <v>10000</v>
      </c>
      <c r="AE8">
        <v>10000</v>
      </c>
      <c r="AF8">
        <v>10000</v>
      </c>
      <c r="AG8">
        <v>10000</v>
      </c>
      <c r="AI8" s="50"/>
      <c r="AJ8" s="82" t="s">
        <v>63</v>
      </c>
      <c r="AK8" s="94">
        <v>2020</v>
      </c>
      <c r="AL8" s="94">
        <v>2021</v>
      </c>
      <c r="AM8" s="94">
        <v>2022</v>
      </c>
      <c r="AN8" s="94">
        <v>2023</v>
      </c>
      <c r="AO8" s="94">
        <v>2024</v>
      </c>
      <c r="AP8" s="94">
        <v>2025</v>
      </c>
      <c r="AQ8" s="50"/>
    </row>
    <row r="9" spans="1:43">
      <c r="A9" s="8">
        <v>44256</v>
      </c>
      <c r="B9" s="4">
        <f>LN('Historical Data'!B10/'Historical Data'!B9)</f>
        <v>7.3452977460266314E-2</v>
      </c>
      <c r="C9" s="4">
        <f>LN('Historical Data'!C10/'Historical Data'!C9)</f>
        <v>0.11392019325058272</v>
      </c>
      <c r="D9" s="4">
        <f>LN('Historical Data'!D10/'Historical Data'!D9)</f>
        <v>-8.4339227399363465E-3</v>
      </c>
      <c r="E9" s="4">
        <f>LN('Historical Data'!E10/'Historical Data'!E9)</f>
        <v>0.13197469319383717</v>
      </c>
      <c r="F9" s="4">
        <f>LN('Historical Data'!F10/'Historical Data'!F9)</f>
        <v>7.0506760632270252E-2</v>
      </c>
      <c r="G9" s="4">
        <f>LN('Historical Data'!G10/'Historical Data'!G9)</f>
        <v>9.8690382758579318E-2</v>
      </c>
      <c r="H9" s="4">
        <f>LN('Historical Data'!H10/'Historical Data'!H9)</f>
        <v>6.7286131566296467E-2</v>
      </c>
      <c r="I9" s="4">
        <f>LN('Historical Data'!I10/'Historical Data'!I9)</f>
        <v>0.11764313075475889</v>
      </c>
      <c r="J9" s="4">
        <f>LN('Historical Data'!J10/'Historical Data'!J9)</f>
        <v>7.7045781460902379E-2</v>
      </c>
      <c r="K9" s="4">
        <f>LN('Historical Data'!K10/'Historical Data'!K9)</f>
        <v>6.0292698517660941E-2</v>
      </c>
      <c r="Y9">
        <v>2021</v>
      </c>
      <c r="Z9" s="91">
        <v>0.56040000000000001</v>
      </c>
      <c r="AA9" s="91">
        <v>0.20960000000000001</v>
      </c>
      <c r="AB9" s="91">
        <v>0.159</v>
      </c>
      <c r="AC9" s="93">
        <v>0.58095069284272249</v>
      </c>
      <c r="AD9" s="12">
        <f>AD8*(1+Z9)</f>
        <v>15604</v>
      </c>
      <c r="AE9" s="12">
        <f t="shared" ref="AE9:AG14" si="0">AE8*(1+AA9)</f>
        <v>12096</v>
      </c>
      <c r="AF9" s="12">
        <f t="shared" si="0"/>
        <v>11590</v>
      </c>
      <c r="AG9" s="12">
        <f t="shared" si="0"/>
        <v>15809.506928427223</v>
      </c>
      <c r="AI9" s="50"/>
      <c r="AJ9" s="88" t="s">
        <v>64</v>
      </c>
      <c r="AK9" s="95">
        <v>0.58095069284272249</v>
      </c>
      <c r="AL9" s="95">
        <v>0.36450849541821967</v>
      </c>
      <c r="AM9" s="95">
        <v>-0.16337261307746215</v>
      </c>
      <c r="AN9" s="95">
        <v>0.70428571903525272</v>
      </c>
      <c r="AO9" s="95">
        <v>0.6525848381274264</v>
      </c>
      <c r="AP9" s="95">
        <v>0.72434597251223831</v>
      </c>
      <c r="AQ9" s="50"/>
    </row>
    <row r="10" spans="1:43">
      <c r="A10" s="8">
        <v>44287</v>
      </c>
      <c r="B10" s="4">
        <f>LN('Historical Data'!B11/'Historical Data'!B10)</f>
        <v>-5.351387804640572E-2</v>
      </c>
      <c r="C10" s="4">
        <f>LN('Historical Data'!C11/'Historical Data'!C10)</f>
        <v>-7.3076480070740385E-2</v>
      </c>
      <c r="D10" s="4">
        <f>LN('Historical Data'!D11/'Historical Data'!D10)</f>
        <v>3.4746641107891607E-2</v>
      </c>
      <c r="E10" s="4">
        <f>LN('Historical Data'!E11/'Historical Data'!E10)</f>
        <v>1.4228049609312638E-3</v>
      </c>
      <c r="F10" s="4">
        <f>LN('Historical Data'!F11/'Historical Data'!F10)</f>
        <v>-5.6677503556045304E-2</v>
      </c>
      <c r="G10" s="4">
        <f>LN('Historical Data'!G11/'Historical Data'!G10)</f>
        <v>1.1165634963294559E-2</v>
      </c>
      <c r="H10" s="4">
        <f>LN('Historical Data'!H11/'Historical Data'!H10)</f>
        <v>-9.9631258055516616E-3</v>
      </c>
      <c r="I10" s="4">
        <f>LN('Historical Data'!I11/'Historical Data'!I10)</f>
        <v>7.9071026935706196E-2</v>
      </c>
      <c r="J10" s="4">
        <f>LN('Historical Data'!J11/'Historical Data'!J10)</f>
        <v>4.2502194609303552E-2</v>
      </c>
      <c r="K10" s="4">
        <f>LN('Historical Data'!K11/'Historical Data'!K10)</f>
        <v>-0.12637217868532388</v>
      </c>
      <c r="Y10">
        <v>2022</v>
      </c>
      <c r="Z10" s="91">
        <v>0.18490000000000001</v>
      </c>
      <c r="AA10" s="91">
        <v>0.2646</v>
      </c>
      <c r="AB10" s="91">
        <v>0.21820000000000001</v>
      </c>
      <c r="AC10" s="93">
        <v>0.36450849541821967</v>
      </c>
      <c r="AD10" s="12">
        <f t="shared" ref="AD10:AD14" si="1">AD9*(1+Z10)</f>
        <v>18489.179599999999</v>
      </c>
      <c r="AE10" s="12">
        <f t="shared" si="0"/>
        <v>15296.6016</v>
      </c>
      <c r="AF10" s="12">
        <f t="shared" si="0"/>
        <v>14118.938</v>
      </c>
      <c r="AG10" s="12">
        <f t="shared" si="0"/>
        <v>21572.206512212149</v>
      </c>
      <c r="AI10" s="50"/>
      <c r="AJ10" s="50"/>
      <c r="AK10" s="50"/>
      <c r="AL10" s="50"/>
      <c r="AM10" s="50"/>
      <c r="AN10" s="50"/>
      <c r="AO10" s="50"/>
      <c r="AP10" s="50"/>
      <c r="AQ10" s="50"/>
    </row>
    <row r="11" spans="1:43" ht="18.75">
      <c r="A11" s="8">
        <v>44317</v>
      </c>
      <c r="B11" s="4">
        <f>LN('Historical Data'!B12/'Historical Data'!B11)</f>
        <v>9.6197264707480842E-2</v>
      </c>
      <c r="C11" s="4">
        <f>LN('Historical Data'!C12/'Historical Data'!C11)</f>
        <v>6.5183660438693752E-2</v>
      </c>
      <c r="D11" s="4">
        <f>LN('Historical Data'!D12/'Historical Data'!D11)</f>
        <v>9.5029545407167397E-3</v>
      </c>
      <c r="E11" s="4">
        <f>LN('Historical Data'!E12/'Historical Data'!E11)</f>
        <v>3.5405322527577006E-2</v>
      </c>
      <c r="F11" s="4">
        <f>LN('Historical Data'!F12/'Historical Data'!F11)</f>
        <v>1.2429887866245834E-2</v>
      </c>
      <c r="G11" s="4">
        <f>LN('Historical Data'!G12/'Historical Data'!G11)</f>
        <v>5.6132021483949759E-2</v>
      </c>
      <c r="H11" s="4">
        <f>LN('Historical Data'!H12/'Historical Data'!H11)</f>
        <v>8.3875860560516741E-2</v>
      </c>
      <c r="I11" s="4">
        <f>LN('Historical Data'!I12/'Historical Data'!I11)</f>
        <v>0.20810268205799495</v>
      </c>
      <c r="J11" s="4">
        <f>LN('Historical Data'!J12/'Historical Data'!J11)</f>
        <v>-1.1496127323293701E-2</v>
      </c>
      <c r="K11" s="4">
        <f>LN('Historical Data'!K12/'Historical Data'!K11)</f>
        <v>8.3547923733690035E-2</v>
      </c>
      <c r="M11" s="67" t="s">
        <v>32</v>
      </c>
      <c r="N11" s="68" t="s">
        <v>33</v>
      </c>
      <c r="O11" s="68" t="s">
        <v>34</v>
      </c>
      <c r="Y11">
        <v>2023</v>
      </c>
      <c r="Z11" s="92">
        <v>-0.25409999999999999</v>
      </c>
      <c r="AA11" s="92">
        <v>-0.1913</v>
      </c>
      <c r="AB11" s="92">
        <v>-0.18140000000000001</v>
      </c>
      <c r="AC11" s="93">
        <v>-0.16337261307746215</v>
      </c>
      <c r="AD11" s="12">
        <f t="shared" si="1"/>
        <v>13791.07906364</v>
      </c>
      <c r="AE11" s="12">
        <f t="shared" si="0"/>
        <v>12370.36171392</v>
      </c>
      <c r="AF11" s="12">
        <f t="shared" si="0"/>
        <v>11557.7626468</v>
      </c>
      <c r="AG11" s="12">
        <f t="shared" si="0"/>
        <v>18047.898764465404</v>
      </c>
    </row>
    <row r="12" spans="1:43">
      <c r="A12" s="8">
        <v>44348</v>
      </c>
      <c r="B12" s="4">
        <f>LN('Historical Data'!B13/'Historical Data'!B12)</f>
        <v>6.2958103352188044E-2</v>
      </c>
      <c r="C12" s="4">
        <f>LN('Historical Data'!C13/'Historical Data'!C12)</f>
        <v>-3.3269663677392113E-2</v>
      </c>
      <c r="D12" s="4">
        <f>LN('Historical Data'!D13/'Historical Data'!D12)</f>
        <v>2.5589715478485361E-2</v>
      </c>
      <c r="E12" s="4">
        <f>LN('Historical Data'!E13/'Historical Data'!E12)</f>
        <v>9.8492131939855204E-2</v>
      </c>
      <c r="F12" s="4">
        <f>LN('Historical Data'!F13/'Historical Data'!F12)</f>
        <v>5.5538042894363975E-2</v>
      </c>
      <c r="G12" s="4">
        <f>LN('Historical Data'!G13/'Historical Data'!G12)</f>
        <v>2.4404077199958792E-2</v>
      </c>
      <c r="H12" s="4">
        <f>LN('Historical Data'!H13/'Historical Data'!H12)</f>
        <v>5.0423954815644371E-2</v>
      </c>
      <c r="I12" s="4">
        <f>LN('Historical Data'!I13/'Historical Data'!I12)</f>
        <v>-2.5264868166827381E-2</v>
      </c>
      <c r="J12" s="4">
        <f>LN('Historical Data'!J13/'Historical Data'!J12)</f>
        <v>0.11286055020189936</v>
      </c>
      <c r="K12" s="4">
        <f>LN('Historical Data'!K13/'Historical Data'!K12)</f>
        <v>1.0973844711766484E-2</v>
      </c>
      <c r="M12" s="65" t="s">
        <v>39</v>
      </c>
      <c r="N12" s="66"/>
      <c r="O12" s="64"/>
      <c r="Y12">
        <v>2024</v>
      </c>
      <c r="Z12" s="91">
        <v>0.34620000000000001</v>
      </c>
      <c r="AA12" s="91">
        <v>0.26529999999999998</v>
      </c>
      <c r="AB12" s="91">
        <v>0.2379</v>
      </c>
      <c r="AC12" s="93">
        <v>0.70428571903525272</v>
      </c>
      <c r="AD12" s="12">
        <f t="shared" si="1"/>
        <v>18565.550635472169</v>
      </c>
      <c r="AE12" s="12">
        <f t="shared" si="0"/>
        <v>15652.218676622973</v>
      </c>
      <c r="AF12" s="12">
        <f t="shared" si="0"/>
        <v>14307.35438047372</v>
      </c>
      <c r="AG12" s="12">
        <f t="shared" si="0"/>
        <v>30758.776122872372</v>
      </c>
    </row>
    <row r="13" spans="1:43">
      <c r="A13" s="8">
        <v>44378</v>
      </c>
      <c r="B13" s="4">
        <f>LN('Historical Data'!B14/'Historical Data'!B13)</f>
        <v>4.0114686269191041E-2</v>
      </c>
      <c r="C13" s="4">
        <f>LN('Historical Data'!C14/'Historical Data'!C13)</f>
        <v>4.2133915498725999E-2</v>
      </c>
      <c r="D13" s="4">
        <f>LN('Historical Data'!D14/'Historical Data'!D13)</f>
        <v>2.4039014105066245E-2</v>
      </c>
      <c r="E13" s="4">
        <f>LN('Historical Data'!E14/'Historical Data'!E13)</f>
        <v>7.1398580298323702E-2</v>
      </c>
      <c r="F13" s="4">
        <f>LN('Historical Data'!F14/'Historical Data'!F13)</f>
        <v>-0.10740089596052549</v>
      </c>
      <c r="G13" s="4">
        <f>LN('Historical Data'!G14/'Historical Data'!G13)</f>
        <v>6.2765306857205119E-2</v>
      </c>
      <c r="H13" s="4">
        <f>LN('Historical Data'!H14/'Historical Data'!H13)</f>
        <v>5.7856251778716387E-2</v>
      </c>
      <c r="I13" s="4">
        <f>LN('Historical Data'!I14/'Historical Data'!I13)</f>
        <v>0.13802790779042068</v>
      </c>
      <c r="J13" s="4">
        <f>LN('Historical Data'!J14/'Historical Data'!J13)</f>
        <v>2.6262040632314715E-2</v>
      </c>
      <c r="K13" s="4">
        <f>LN('Historical Data'!K14/'Historical Data'!K13)</f>
        <v>6.8224095374517624E-2</v>
      </c>
      <c r="M13" s="61" t="s">
        <v>3</v>
      </c>
      <c r="N13" s="61"/>
      <c r="O13" s="56">
        <v>0.47501974157141491</v>
      </c>
      <c r="Y13">
        <v>2025</v>
      </c>
      <c r="Z13" s="91">
        <v>0.33839999999999998</v>
      </c>
      <c r="AA13" s="91">
        <v>0.24510000000000001</v>
      </c>
      <c r="AB13" s="91">
        <v>0.1867</v>
      </c>
      <c r="AC13" s="93">
        <v>0.6525848381274264</v>
      </c>
      <c r="AD13" s="12">
        <f t="shared" si="1"/>
        <v>24848.132970515951</v>
      </c>
      <c r="AE13" s="12">
        <f t="shared" si="0"/>
        <v>19488.577474263264</v>
      </c>
      <c r="AF13" s="12">
        <f t="shared" si="0"/>
        <v>16978.537443308163</v>
      </c>
      <c r="AG13" s="12">
        <f t="shared" si="0"/>
        <v>50831.487060014784</v>
      </c>
    </row>
    <row r="14" spans="1:43">
      <c r="A14" s="8">
        <v>44409</v>
      </c>
      <c r="B14" s="4">
        <f>LN('Historical Data'!B15/'Historical Data'!B14)</f>
        <v>-6.8965054179666044E-2</v>
      </c>
      <c r="C14" s="4">
        <f>LN('Historical Data'!C15/'Historical Data'!C14)</f>
        <v>-5.5003405330353652E-2</v>
      </c>
      <c r="D14" s="4">
        <f>LN('Historical Data'!D15/'Historical Data'!D14)</f>
        <v>-2.5007806701301198E-2</v>
      </c>
      <c r="E14" s="4">
        <f>LN('Historical Data'!E15/'Historical Data'!E14)</f>
        <v>-7.922638689409002E-2</v>
      </c>
      <c r="F14" s="4">
        <f>LN('Historical Data'!F15/'Historical Data'!F14)</f>
        <v>4.17908674946702E-3</v>
      </c>
      <c r="G14" s="4">
        <f>LN('Historical Data'!G15/'Historical Data'!G14)</f>
        <v>-0.1113882238630215</v>
      </c>
      <c r="H14" s="4">
        <f>LN('Historical Data'!H15/'Historical Data'!H14)</f>
        <v>-6.6493567831703501E-2</v>
      </c>
      <c r="I14" s="4">
        <f>LN('Historical Data'!I15/'Historical Data'!I14)</f>
        <v>-7.7308267391856145E-2</v>
      </c>
      <c r="J14" s="4">
        <f>LN('Historical Data'!J15/'Historical Data'!J14)</f>
        <v>-2.2694728325321111E-2</v>
      </c>
      <c r="K14" s="4">
        <f>LN('Historical Data'!K15/'Historical Data'!K14)</f>
        <v>5.2632451956010698E-2</v>
      </c>
      <c r="M14" s="61" t="s">
        <v>9</v>
      </c>
      <c r="N14" s="61"/>
      <c r="O14" s="56">
        <v>0.1980803499155466</v>
      </c>
      <c r="Y14">
        <v>2026</v>
      </c>
      <c r="Z14" s="91">
        <v>0.1628</v>
      </c>
      <c r="AA14" s="91">
        <v>0.17219999999999999</v>
      </c>
      <c r="AB14" s="91">
        <v>0.19520000000000001</v>
      </c>
      <c r="AC14" s="93">
        <v>0.72434597251223831</v>
      </c>
      <c r="AD14" s="12">
        <f t="shared" si="1"/>
        <v>28893.409018115948</v>
      </c>
      <c r="AE14" s="12">
        <f t="shared" si="0"/>
        <v>22844.510515331396</v>
      </c>
      <c r="AF14" s="12">
        <f t="shared" si="0"/>
        <v>20292.747952241916</v>
      </c>
      <c r="AG14" s="12">
        <f>AG13*(1+AC14)</f>
        <v>87651.06998874445</v>
      </c>
    </row>
    <row r="15" spans="1:43">
      <c r="A15" s="8">
        <v>44440</v>
      </c>
      <c r="B15" s="4">
        <f>LN('Historical Data'!B16/'Historical Data'!B15)</f>
        <v>5.7001470138716995E-2</v>
      </c>
      <c r="C15" s="4">
        <f>LN('Historical Data'!C16/'Historical Data'!C15)</f>
        <v>2.6254724346159528E-2</v>
      </c>
      <c r="D15" s="4">
        <f>LN('Historical Data'!D16/'Historical Data'!D15)</f>
        <v>9.9320429971675547E-2</v>
      </c>
      <c r="E15" s="4">
        <f>LN('Historical Data'!E16/'Historical Data'!E15)</f>
        <v>0.10210432347288416</v>
      </c>
      <c r="F15" s="4">
        <f>LN('Historical Data'!F16/'Historical Data'!F15)</f>
        <v>-3.5601216467986328E-2</v>
      </c>
      <c r="G15" s="4">
        <f>LN('Historical Data'!G16/'Historical Data'!G15)</f>
        <v>-4.7734188256524895E-2</v>
      </c>
      <c r="H15" s="4">
        <f>LN('Historical Data'!H16/'Historical Data'!H15)</f>
        <v>0.16236607270455952</v>
      </c>
      <c r="I15" s="4">
        <f>LN('Historical Data'!I16/'Historical Data'!I15)</f>
        <v>0.21039577698307099</v>
      </c>
      <c r="J15" s="4">
        <f>LN('Historical Data'!J16/'Historical Data'!J15)</f>
        <v>9.6321806436104412E-2</v>
      </c>
      <c r="K15" s="4">
        <f>LN('Historical Data'!K16/'Historical Data'!K15)</f>
        <v>0.3622302672020109</v>
      </c>
      <c r="M15" s="61" t="s">
        <v>4</v>
      </c>
      <c r="N15" s="61"/>
      <c r="O15" s="56">
        <v>0.14450369445422295</v>
      </c>
    </row>
    <row r="16" spans="1:43">
      <c r="A16" s="8">
        <v>44470</v>
      </c>
      <c r="B16" s="4">
        <f>LN('Historical Data'!B17/'Historical Data'!B16)</f>
        <v>9.8460955607378053E-2</v>
      </c>
      <c r="C16" s="4">
        <f>LN('Historical Data'!C17/'Historical Data'!C16)</f>
        <v>3.9147378269960106E-2</v>
      </c>
      <c r="D16" s="4">
        <f>LN('Historical Data'!D17/'Historical Data'!D16)</f>
        <v>4.0563924813395019E-2</v>
      </c>
      <c r="E16" s="4">
        <f>LN('Historical Data'!E17/'Historical Data'!E16)</f>
        <v>-4.2418188091024829E-2</v>
      </c>
      <c r="F16" s="4">
        <f>LN('Historical Data'!F17/'Historical Data'!F16)</f>
        <v>-6.2100155196028253E-2</v>
      </c>
      <c r="G16" s="4">
        <f>LN('Historical Data'!G17/'Historical Data'!G16)</f>
        <v>2.7463314136459156E-3</v>
      </c>
      <c r="H16" s="4">
        <f>LN('Historical Data'!H17/'Historical Data'!H16)</f>
        <v>-3.1106350284684043E-3</v>
      </c>
      <c r="I16" s="4">
        <f>LN('Historical Data'!I17/'Historical Data'!I16)</f>
        <v>0.2453387025273624</v>
      </c>
      <c r="J16" s="4">
        <f>LN('Historical Data'!J17/'Historical Data'!J16)</f>
        <v>-5.2251911469623366E-2</v>
      </c>
      <c r="K16" s="4">
        <f>LN('Historical Data'!K17/'Historical Data'!K16)</f>
        <v>2.7238043664758075E-2</v>
      </c>
      <c r="M16" s="61" t="s">
        <v>5</v>
      </c>
      <c r="N16" s="61"/>
      <c r="O16" s="56">
        <v>0.12041573537610309</v>
      </c>
    </row>
    <row r="17" spans="1:50">
      <c r="A17" s="8">
        <v>44501</v>
      </c>
      <c r="B17" s="4">
        <f>LN('Historical Data'!B18/'Historical Data'!B17)</f>
        <v>7.3061758985275643E-2</v>
      </c>
      <c r="C17" s="4">
        <f>LN('Historical Data'!C18/'Historical Data'!C17)</f>
        <v>-5.0506172305566407E-2</v>
      </c>
      <c r="D17" s="4">
        <f>LN('Historical Data'!D18/'Historical Data'!D17)</f>
        <v>0.18381658583107474</v>
      </c>
      <c r="E17" s="4">
        <f>LN('Historical Data'!E18/'Historical Data'!E17)</f>
        <v>2.0607832249870051E-2</v>
      </c>
      <c r="F17" s="4">
        <f>LN('Historical Data'!F18/'Historical Data'!F17)</f>
        <v>0.13189484961998335</v>
      </c>
      <c r="G17" s="4">
        <f>LN('Historical Data'!G18/'Historical Data'!G17)</f>
        <v>3.5990175831318451E-2</v>
      </c>
      <c r="H17" s="4">
        <f>LN('Historical Data'!H18/'Historical Data'!H17)</f>
        <v>1.9012102531187427E-2</v>
      </c>
      <c r="I17" s="4">
        <f>LN('Historical Data'!I18/'Historical Data'!I17)</f>
        <v>-0.10527210264327075</v>
      </c>
      <c r="J17" s="4">
        <f>LN('Historical Data'!J18/'Historical Data'!J17)</f>
        <v>-3.9679423272616303E-2</v>
      </c>
      <c r="K17" s="4">
        <f>LN('Historical Data'!K18/'Historical Data'!K17)</f>
        <v>-7.9968546413117417E-2</v>
      </c>
      <c r="M17" s="61" t="s">
        <v>8</v>
      </c>
      <c r="N17" s="61"/>
      <c r="O17" s="56">
        <v>3.5991036632313865E-2</v>
      </c>
    </row>
    <row r="18" spans="1:50">
      <c r="A18" s="8">
        <v>44531</v>
      </c>
      <c r="B18" s="4">
        <f>LN('Historical Data'!B19/'Historical Data'!B18)</f>
        <v>-1.5837294933547477E-2</v>
      </c>
      <c r="C18" s="4">
        <f>LN('Historical Data'!C19/'Historical Data'!C18)</f>
        <v>-0.10850985334928992</v>
      </c>
      <c r="D18" s="4">
        <f>LN('Historical Data'!D19/'Historical Data'!D18)</f>
        <v>-0.12091190082560552</v>
      </c>
      <c r="E18" s="4">
        <f>LN('Historical Data'!E19/'Historical Data'!E18)</f>
        <v>-6.8192164233039532E-2</v>
      </c>
      <c r="F18" s="4">
        <f>LN('Historical Data'!F19/'Historical Data'!F18)</f>
        <v>7.2608056606907986E-2</v>
      </c>
      <c r="G18" s="4">
        <f>LN('Historical Data'!G19/'Historical Data'!G18)</f>
        <v>-7.1118675641461016E-2</v>
      </c>
      <c r="H18" s="4">
        <f>LN('Historical Data'!H19/'Historical Data'!H18)</f>
        <v>-7.8334669673592025E-2</v>
      </c>
      <c r="I18" s="4">
        <f>LN('Historical Data'!I19/'Historical Data'!I18)</f>
        <v>-0.18314486686167322</v>
      </c>
      <c r="J18" s="4">
        <f>LN('Historical Data'!J19/'Historical Data'!J18)</f>
        <v>-7.189642922405666E-2</v>
      </c>
      <c r="K18" s="4">
        <f>LN('Historical Data'!K19/'Historical Data'!K18)</f>
        <v>-0.12059741643178999</v>
      </c>
      <c r="M18" s="61" t="s">
        <v>1</v>
      </c>
      <c r="N18" s="61"/>
      <c r="O18" s="56">
        <v>2.5989442050399002E-2</v>
      </c>
    </row>
    <row r="19" spans="1:50">
      <c r="A19" s="8">
        <v>44562</v>
      </c>
      <c r="B19" s="4">
        <f>LN('Historical Data'!B20/'Historical Data'!B19)</f>
        <v>-5.6855613677537581E-2</v>
      </c>
      <c r="C19" s="4">
        <f>LN('Historical Data'!C20/'Historical Data'!C19)</f>
        <v>2.6322995467381691E-2</v>
      </c>
      <c r="D19" s="4">
        <f>LN('Historical Data'!D20/'Historical Data'!D19)</f>
        <v>2.6592592652367082E-3</v>
      </c>
      <c r="E19" s="4">
        <f>LN('Historical Data'!E20/'Historical Data'!E19)</f>
        <v>-1.8234057890591827E-3</v>
      </c>
      <c r="F19" s="4">
        <f>LN('Historical Data'!F20/'Historical Data'!F19)</f>
        <v>-6.7130806204904803E-2</v>
      </c>
      <c r="G19" s="4">
        <f>LN('Historical Data'!G20/'Historical Data'!G19)</f>
        <v>-0.39503344607035762</v>
      </c>
      <c r="H19" s="4">
        <f>LN('Historical Data'!H20/'Historical Data'!H19)</f>
        <v>-3.9987577775616144E-2</v>
      </c>
      <c r="I19" s="4">
        <f>LN('Historical Data'!I20/'Historical Data'!I19)</f>
        <v>-4.1333224621533703E-3</v>
      </c>
      <c r="J19" s="4">
        <f>LN('Historical Data'!J20/'Historical Data'!J19)</f>
        <v>-6.2376295699695876E-2</v>
      </c>
      <c r="K19" s="4">
        <f>LN('Historical Data'!K20/'Historical Data'!K19)</f>
        <v>-7.3397184006749369E-2</v>
      </c>
      <c r="M19" s="61" t="s">
        <v>2</v>
      </c>
      <c r="N19" s="61"/>
      <c r="O19" s="56">
        <v>0</v>
      </c>
    </row>
    <row r="20" spans="1:50">
      <c r="A20" s="8">
        <v>44593</v>
      </c>
      <c r="B20" s="4">
        <f>LN('Historical Data'!B21/'Historical Data'!B20)</f>
        <v>5.7156114524264397E-2</v>
      </c>
      <c r="C20" s="4">
        <f>LN('Historical Data'!C21/'Historical Data'!C20)</f>
        <v>5.9623956986477045E-2</v>
      </c>
      <c r="D20" s="4">
        <f>LN('Historical Data'!D21/'Historical Data'!D20)</f>
        <v>6.9437527484066175E-2</v>
      </c>
      <c r="E20" s="4">
        <f>LN('Historical Data'!E21/'Historical Data'!E20)</f>
        <v>2.9262303250881722E-2</v>
      </c>
      <c r="F20" s="4">
        <f>LN('Historical Data'!F21/'Historical Data'!F20)</f>
        <v>-9.5796486753798316E-3</v>
      </c>
      <c r="G20" s="4">
        <f>LN('Historical Data'!G21/'Historical Data'!G20)</f>
        <v>5.2297476849600712E-2</v>
      </c>
      <c r="H20" s="4">
        <f>LN('Historical Data'!H21/'Historical Data'!H20)</f>
        <v>3.3430312534926232E-2</v>
      </c>
      <c r="I20" s="4">
        <f>LN('Historical Data'!I21/'Historical Data'!I20)</f>
        <v>0.11240546843510196</v>
      </c>
      <c r="J20" s="4">
        <f>LN('Historical Data'!J21/'Historical Data'!J20)</f>
        <v>8.5244004014917454E-2</v>
      </c>
      <c r="K20" s="4">
        <f>LN('Historical Data'!K21/'Historical Data'!K20)</f>
        <v>0.21350439756243444</v>
      </c>
      <c r="M20" s="61" t="s">
        <v>6</v>
      </c>
      <c r="N20" s="61"/>
      <c r="O20" s="56">
        <v>0</v>
      </c>
    </row>
    <row r="21" spans="1:50">
      <c r="A21" s="8">
        <v>44621</v>
      </c>
      <c r="B21" s="4">
        <f>LN('Historical Data'!B22/'Historical Data'!B21)</f>
        <v>-0.10217803212979519</v>
      </c>
      <c r="C21" s="4">
        <f>LN('Historical Data'!C22/'Historical Data'!C21)</f>
        <v>-0.2711857092933817</v>
      </c>
      <c r="D21" s="4">
        <f>LN('Historical Data'!D22/'Historical Data'!D21)</f>
        <v>-0.12060405827973424</v>
      </c>
      <c r="E21" s="4">
        <f>LN('Historical Data'!E22/'Historical Data'!E21)</f>
        <v>-0.19780056081010342</v>
      </c>
      <c r="F21" s="4">
        <f>LN('Historical Data'!F22/'Historical Data'!F21)</f>
        <v>1.6649495676854788E-2</v>
      </c>
      <c r="G21" s="4">
        <f>LN('Historical Data'!G22/'Historical Data'!G21)</f>
        <v>-0.10363318113838879</v>
      </c>
      <c r="H21" s="4">
        <f>LN('Historical Data'!H22/'Historical Data'!H21)</f>
        <v>-0.10521257226363716</v>
      </c>
      <c r="I21" s="4">
        <f>LN('Historical Data'!I22/'Historical Data'!I21)</f>
        <v>-0.38589506101342907</v>
      </c>
      <c r="J21" s="4">
        <f>LN('Historical Data'!J22/'Historical Data'!J21)</f>
        <v>-0.11965823131331957</v>
      </c>
      <c r="K21" s="4">
        <f>LN('Historical Data'!K22/'Historical Data'!K21)</f>
        <v>-0.21312534640563197</v>
      </c>
      <c r="M21" s="61" t="s">
        <v>7</v>
      </c>
      <c r="N21" s="61"/>
      <c r="O21" s="56">
        <v>0</v>
      </c>
    </row>
    <row r="22" spans="1:50">
      <c r="A22" s="8">
        <v>44652</v>
      </c>
      <c r="B22" s="4">
        <f>LN('Historical Data'!B23/'Historical Data'!B22)</f>
        <v>-5.7505126562053047E-2</v>
      </c>
      <c r="C22" s="4">
        <f>LN('Historical Data'!C23/'Historical Data'!C22)</f>
        <v>-3.3313100052673725E-2</v>
      </c>
      <c r="D22" s="4">
        <f>LN('Historical Data'!D23/'Historical Data'!D22)</f>
        <v>4.5384062012898657E-2</v>
      </c>
      <c r="E22" s="4">
        <f>LN('Historical Data'!E23/'Historical Data'!E22)</f>
        <v>-3.0497918789332262E-3</v>
      </c>
      <c r="F22" s="4">
        <f>LN('Historical Data'!F23/'Historical Data'!F22)</f>
        <v>-1.3892153854590099E-2</v>
      </c>
      <c r="G22" s="4">
        <f>LN('Historical Data'!G23/'Historical Data'!G22)</f>
        <v>-3.4663574879649335E-2</v>
      </c>
      <c r="H22" s="4">
        <f>LN('Historical Data'!H23/'Historical Data'!H22)</f>
        <v>-2.0568986921288678E-2</v>
      </c>
      <c r="I22" s="4">
        <f>LN('Historical Data'!I23/'Historical Data'!I22)</f>
        <v>6.7172094117784334E-3</v>
      </c>
      <c r="J22" s="4">
        <f>LN('Historical Data'!J23/'Historical Data'!J22)</f>
        <v>-1.6465328514610481E-2</v>
      </c>
      <c r="K22" s="4">
        <f>LN('Historical Data'!K23/'Historical Data'!K22)</f>
        <v>-0.13834007582724359</v>
      </c>
      <c r="M22" s="54" t="s">
        <v>10</v>
      </c>
      <c r="N22" s="54"/>
      <c r="O22" s="55">
        <v>0</v>
      </c>
    </row>
    <row r="23" spans="1:50">
      <c r="A23" s="8">
        <v>44682</v>
      </c>
      <c r="B23" s="4">
        <f>LN('Historical Data'!B24/'Historical Data'!B23)</f>
        <v>-8.3468444785490536E-2</v>
      </c>
      <c r="C23" s="4">
        <f>LN('Historical Data'!C24/'Historical Data'!C23)</f>
        <v>-0.12381778758632632</v>
      </c>
      <c r="D23" s="4">
        <f>LN('Historical Data'!D24/'Historical Data'!D23)</f>
        <v>-0.17743479482594163</v>
      </c>
      <c r="E23" s="4">
        <f>LN('Historical Data'!E24/'Historical Data'!E23)</f>
        <v>-4.3100820499334058E-2</v>
      </c>
      <c r="F23" s="4">
        <f>LN('Historical Data'!F24/'Historical Data'!F23)</f>
        <v>-0.12607488295849675</v>
      </c>
      <c r="G23" s="4">
        <f>LN('Historical Data'!G24/'Historical Data'!G23)</f>
        <v>-0.18304510971973292</v>
      </c>
      <c r="H23" s="4">
        <f>LN('Historical Data'!H24/'Historical Data'!H23)</f>
        <v>-5.458339527536045E-2</v>
      </c>
      <c r="I23" s="4">
        <f>LN('Historical Data'!I24/'Historical Data'!I23)</f>
        <v>-0.20843118844391761</v>
      </c>
      <c r="J23" s="4">
        <f>LN('Historical Data'!J24/'Historical Data'!J23)</f>
        <v>-2.891788923359084E-2</v>
      </c>
      <c r="K23" s="4">
        <f>LN('Historical Data'!K24/'Historical Data'!K23)</f>
        <v>-0.11865714504339087</v>
      </c>
    </row>
    <row r="24" spans="1:50">
      <c r="A24" s="8">
        <v>44713</v>
      </c>
      <c r="B24" s="4">
        <f>LN('Historical Data'!B25/'Historical Data'!B24)</f>
        <v>0.17280443117840452</v>
      </c>
      <c r="C24" s="4">
        <f>LN('Historical Data'!C25/'Historical Data'!C24)</f>
        <v>0.23948607313056541</v>
      </c>
      <c r="D24" s="4">
        <f>LN('Historical Data'!D25/'Historical Data'!D24)</f>
        <v>0.10560215586070665</v>
      </c>
      <c r="E24" s="4">
        <f>LN('Historical Data'!E25/'Historical Data'!E24)</f>
        <v>6.5336601353735507E-2</v>
      </c>
      <c r="F24" s="4">
        <f>LN('Historical Data'!F25/'Historical Data'!F24)</f>
        <v>0.11460866362309634</v>
      </c>
      <c r="G24" s="4">
        <f>LN('Historical Data'!G25/'Historical Data'!G24)</f>
        <v>-1.3422851689388463E-2</v>
      </c>
      <c r="H24" s="4">
        <f>LN('Historical Data'!H25/'Historical Data'!H24)</f>
        <v>8.9014844876514523E-2</v>
      </c>
      <c r="I24" s="4">
        <f>LN('Historical Data'!I25/'Historical Data'!I24)</f>
        <v>0.18100392958390127</v>
      </c>
      <c r="J24" s="4">
        <f>LN('Historical Data'!J25/'Historical Data'!J24)</f>
        <v>0.10801874932826568</v>
      </c>
      <c r="K24" s="4">
        <f>LN('Historical Data'!K25/'Historical Data'!K24)</f>
        <v>0.28048029266089147</v>
      </c>
    </row>
    <row r="25" spans="1:50">
      <c r="A25" s="8">
        <v>44743</v>
      </c>
      <c r="B25" s="4">
        <f>LN('Historical Data'!B26/'Historical Data'!B25)</f>
        <v>-3.3093631986848525E-2</v>
      </c>
      <c r="C25" s="4">
        <f>LN('Historical Data'!C26/'Historical Data'!C25)</f>
        <v>-6.2529918513378344E-2</v>
      </c>
      <c r="D25" s="4">
        <f>LN('Historical Data'!D26/'Historical Data'!D25)</f>
        <v>-7.0336943095026139E-2</v>
      </c>
      <c r="E25" s="4">
        <f>LN('Historical Data'!E26/'Historical Data'!E25)</f>
        <v>-7.2178687191277305E-2</v>
      </c>
      <c r="F25" s="4">
        <f>LN('Historical Data'!F26/'Historical Data'!F25)</f>
        <v>-8.5287674235194649E-2</v>
      </c>
      <c r="G25" s="4">
        <f>LN('Historical Data'!G26/'Historical Data'!G25)</f>
        <v>2.3787517090643244E-2</v>
      </c>
      <c r="H25" s="4">
        <f>LN('Historical Data'!H26/'Historical Data'!H25)</f>
        <v>-7.1109623344982928E-2</v>
      </c>
      <c r="I25" s="4">
        <f>LN('Historical Data'!I26/'Historical Data'!I25)</f>
        <v>-0.18508941651238625</v>
      </c>
      <c r="J25" s="4">
        <f>LN('Historical Data'!J26/'Historical Data'!J25)</f>
        <v>-4.4102667888266611E-2</v>
      </c>
      <c r="K25" s="4">
        <f>LN('Historical Data'!K26/'Historical Data'!K25)</f>
        <v>-7.5250238861184759E-2</v>
      </c>
    </row>
    <row r="26" spans="1:50">
      <c r="A26" s="8">
        <v>44774</v>
      </c>
      <c r="B26" s="4">
        <f>LN('Historical Data'!B27/'Historical Data'!B26)</f>
        <v>-0.1275558516814467</v>
      </c>
      <c r="C26" s="4">
        <f>LN('Historical Data'!C27/'Historical Data'!C26)</f>
        <v>-0.11498660223829471</v>
      </c>
      <c r="D26" s="4">
        <f>LN('Historical Data'!D27/'Historical Data'!D26)</f>
        <v>-0.11697926586710171</v>
      </c>
      <c r="E26" s="4">
        <f>LN('Historical Data'!E27/'Historical Data'!E26)</f>
        <v>-0.12347042987136843</v>
      </c>
      <c r="F26" s="4">
        <f>LN('Historical Data'!F27/'Historical Data'!F26)</f>
        <v>-0.13171390676681982</v>
      </c>
      <c r="G26" s="4">
        <f>LN('Historical Data'!G27/'Historical Data'!G26)</f>
        <v>-0.18302123219561156</v>
      </c>
      <c r="H26" s="4">
        <f>LN('Historical Data'!H27/'Historical Data'!H26)</f>
        <v>-0.11358977363667903</v>
      </c>
      <c r="I26" s="4">
        <f>LN('Historical Data'!I27/'Historical Data'!I26)</f>
        <v>-0.21787411148798203</v>
      </c>
      <c r="J26" s="4">
        <f>LN('Historical Data'!J27/'Historical Data'!J26)</f>
        <v>-0.19406934761028147</v>
      </c>
      <c r="K26" s="4">
        <f>LN('Historical Data'!K27/'Historical Data'!K26)</f>
        <v>-3.8314045457392337E-2</v>
      </c>
      <c r="AR26" s="50"/>
      <c r="AS26" s="50"/>
      <c r="AT26" s="50"/>
      <c r="AU26" s="50"/>
      <c r="AV26" s="50"/>
      <c r="AW26" s="50"/>
      <c r="AX26" s="50"/>
    </row>
    <row r="27" spans="1:50">
      <c r="A27" s="8">
        <v>44805</v>
      </c>
      <c r="B27" s="4">
        <f>LN('Historical Data'!B28/'Historical Data'!B27)</f>
        <v>0.10395492240185637</v>
      </c>
      <c r="C27" s="4">
        <f>LN('Historical Data'!C28/'Historical Data'!C27)</f>
        <v>-9.811055738101615E-2</v>
      </c>
      <c r="D27" s="4">
        <f>LN('Historical Data'!D28/'Historical Data'!D27)</f>
        <v>6.5490892291273209E-2</v>
      </c>
      <c r="E27" s="4">
        <f>LN('Historical Data'!E28/'Historical Data'!E27)</f>
        <v>-1.198992809953024E-2</v>
      </c>
      <c r="F27" s="4">
        <f>LN('Historical Data'!F28/'Historical Data'!F27)</f>
        <v>0.14339138286779468</v>
      </c>
      <c r="G27" s="4">
        <f>LN('Historical Data'!G28/'Historical Data'!G27)</f>
        <v>-0.37598068900955778</v>
      </c>
      <c r="H27" s="4">
        <f>LN('Historical Data'!H28/'Historical Data'!H27)</f>
        <v>-3.3120129644825707E-3</v>
      </c>
      <c r="I27" s="4">
        <f>LN('Historical Data'!I28/'Historical Data'!I27)</f>
        <v>0.1063409907596171</v>
      </c>
      <c r="J27" s="4">
        <f>LN('Historical Data'!J28/'Historical Data'!J27)</f>
        <v>0.24558507176347361</v>
      </c>
      <c r="K27" s="4">
        <f>LN('Historical Data'!K28/'Historical Data'!K27)</f>
        <v>-0.15334673038252214</v>
      </c>
      <c r="AR27" s="50"/>
      <c r="AS27" s="50"/>
      <c r="AT27" s="50"/>
      <c r="AU27" s="50"/>
      <c r="AV27" s="50"/>
      <c r="AW27" s="50"/>
      <c r="AX27" s="50"/>
    </row>
    <row r="28" spans="1:50">
      <c r="A28" s="8">
        <v>44835</v>
      </c>
      <c r="B28" s="4">
        <f>LN('Historical Data'!B29/'Historical Data'!B28)</f>
        <v>-3.5242178309030113E-2</v>
      </c>
      <c r="C28" s="4">
        <f>LN('Historical Data'!C29/'Historical Data'!C28)</f>
        <v>-5.93198310989776E-2</v>
      </c>
      <c r="D28" s="4">
        <f>LN('Historical Data'!D29/'Historical Data'!D28)</f>
        <v>0.15880119806873177</v>
      </c>
      <c r="E28" s="4">
        <f>LN('Historical Data'!E29/'Historical Data'!E28)</f>
        <v>6.6315418215635913E-2</v>
      </c>
      <c r="F28" s="4">
        <f>LN('Historical Data'!F29/'Historical Data'!F28)</f>
        <v>8.410370277991315E-2</v>
      </c>
      <c r="G28" s="4">
        <f>LN('Historical Data'!G29/'Historical Data'!G28)</f>
        <v>0.23721314485123565</v>
      </c>
      <c r="H28" s="4">
        <f>LN('Historical Data'!H29/'Historical Data'!H28)</f>
        <v>9.4514905409019939E-2</v>
      </c>
      <c r="I28" s="4">
        <f>LN('Historical Data'!I29/'Historical Data'!I28)</f>
        <v>0.22620632995601059</v>
      </c>
      <c r="J28" s="4">
        <f>LN('Historical Data'!J29/'Historical Data'!J28)</f>
        <v>6.672347267525193E-2</v>
      </c>
      <c r="K28" s="4">
        <f>LN('Historical Data'!K29/'Historical Data'!K28)</f>
        <v>-0.15586613473341651</v>
      </c>
      <c r="AR28" s="50"/>
      <c r="AS28" s="50"/>
      <c r="AT28" s="83" t="s">
        <v>65</v>
      </c>
      <c r="AU28" s="83" t="s">
        <v>66</v>
      </c>
      <c r="AV28" s="84" t="s">
        <v>67</v>
      </c>
      <c r="AW28" s="50"/>
      <c r="AX28" s="50"/>
    </row>
    <row r="29" spans="1:50" ht="29.25">
      <c r="A29" s="8">
        <v>44866</v>
      </c>
      <c r="B29" s="4">
        <f>LN('Historical Data'!B30/'Historical Data'!B29)</f>
        <v>-0.12876210972506572</v>
      </c>
      <c r="C29" s="4">
        <f>LN('Historical Data'!C30/'Historical Data'!C29)</f>
        <v>-0.13914063138903329</v>
      </c>
      <c r="D29" s="4">
        <f>LN('Historical Data'!D30/'Historical Data'!D29)</f>
        <v>1.4592705926184399E-2</v>
      </c>
      <c r="E29" s="4">
        <f>LN('Historical Data'!E30/'Historical Data'!E29)</f>
        <v>-0.13507409946561835</v>
      </c>
      <c r="F29" s="4">
        <f>LN('Historical Data'!F30/'Historical Data'!F29)</f>
        <v>-2.4627335741839319E-2</v>
      </c>
      <c r="G29" s="4">
        <f>LN('Historical Data'!G30/'Historical Data'!G29)</f>
        <v>1.878955147272178E-2</v>
      </c>
      <c r="H29" s="4">
        <f>LN('Historical Data'!H30/'Historical Data'!H29)</f>
        <v>-5.910958449814499E-2</v>
      </c>
      <c r="I29" s="4">
        <f>LN('Historical Data'!I30/'Historical Data'!I29)</f>
        <v>-0.14643755360960392</v>
      </c>
      <c r="J29" s="4">
        <f>LN('Historical Data'!J30/'Historical Data'!J29)</f>
        <v>-1.5658492124200833E-2</v>
      </c>
      <c r="K29" s="4">
        <f>LN('Historical Data'!K30/'Historical Data'!K29)</f>
        <v>-0.45781321211925669</v>
      </c>
      <c r="AR29" s="50"/>
      <c r="AS29" s="50"/>
      <c r="AT29" s="85" t="s">
        <v>68</v>
      </c>
      <c r="AU29" s="61" t="s">
        <v>69</v>
      </c>
      <c r="AV29" s="86" t="s">
        <v>70</v>
      </c>
      <c r="AW29" s="50"/>
      <c r="AX29" s="50"/>
    </row>
    <row r="30" spans="1:50" ht="29.25">
      <c r="A30" s="8">
        <v>44896</v>
      </c>
      <c r="B30" s="4">
        <f>LN('Historical Data'!B31/'Historical Data'!B30)</f>
        <v>0.1048294004991016</v>
      </c>
      <c r="C30" s="4">
        <f>LN('Historical Data'!C31/'Historical Data'!C30)</f>
        <v>0.20517352948466397</v>
      </c>
      <c r="D30" s="4">
        <f>LN('Historical Data'!D31/'Historical Data'!D30)</f>
        <v>5.3556273671406994E-2</v>
      </c>
      <c r="E30" s="4">
        <f>LN('Historical Data'!E31/'Historical Data'!E30)</f>
        <v>0.11355520374608775</v>
      </c>
      <c r="F30" s="4">
        <f>LN('Historical Data'!F31/'Historical Data'!F30)</f>
        <v>6.3696822543363896E-2</v>
      </c>
      <c r="G30" s="4">
        <f>LN('Historical Data'!G31/'Historical Data'!G30)</f>
        <v>0.21342326907138692</v>
      </c>
      <c r="H30" s="4">
        <f>LN('Historical Data'!H31/'Historical Data'!H30)</f>
        <v>3.2773546457340319E-2</v>
      </c>
      <c r="I30" s="4">
        <f>LN('Historical Data'!I31/'Historical Data'!I30)</f>
        <v>0.29033006818835605</v>
      </c>
      <c r="J30" s="4">
        <f>LN('Historical Data'!J31/'Historical Data'!J30)</f>
        <v>7.9006922596324664E-2</v>
      </c>
      <c r="K30" s="4">
        <f>LN('Historical Data'!K31/'Historical Data'!K30)</f>
        <v>0.34091576264400142</v>
      </c>
      <c r="AR30" s="50"/>
      <c r="AS30" s="50"/>
      <c r="AT30" s="85" t="s">
        <v>26</v>
      </c>
      <c r="AU30" s="61" t="s">
        <v>71</v>
      </c>
      <c r="AV30" s="86" t="s">
        <v>72</v>
      </c>
      <c r="AW30" s="50"/>
      <c r="AX30" s="50"/>
    </row>
    <row r="31" spans="1:50">
      <c r="A31" s="8">
        <v>44927</v>
      </c>
      <c r="B31" s="4">
        <f>LN('Historical Data'!B32/'Historical Data'!B31)</f>
        <v>2.1393283574072736E-2</v>
      </c>
      <c r="C31" s="4">
        <f>LN('Historical Data'!C32/'Historical Data'!C31)</f>
        <v>-9.0251726109312633E-2</v>
      </c>
      <c r="D31" s="4">
        <f>LN('Historical Data'!D32/'Historical Data'!D31)</f>
        <v>1.5738470108691234E-2</v>
      </c>
      <c r="E31" s="4">
        <f>LN('Historical Data'!E32/'Historical Data'!E31)</f>
        <v>-9.3026072209416985E-2</v>
      </c>
      <c r="F31" s="4">
        <f>LN('Historical Data'!F32/'Historical Data'!F31)</f>
        <v>-4.0567226968867422E-2</v>
      </c>
      <c r="G31" s="4">
        <f>LN('Historical Data'!G32/'Historical Data'!G31)</f>
        <v>0.16069828019144647</v>
      </c>
      <c r="H31" s="4">
        <f>LN('Historical Data'!H32/'Historical Data'!H31)</f>
        <v>6.4761117897062688E-3</v>
      </c>
      <c r="I31" s="4">
        <f>LN('Historical Data'!I32/'Historical Data'!I31)</f>
        <v>0.17253134711290119</v>
      </c>
      <c r="J31" s="4">
        <f>LN('Historical Data'!J32/'Historical Data'!J31)</f>
        <v>-8.3125520289116569E-3</v>
      </c>
      <c r="K31" s="4">
        <f>LN('Historical Data'!K32/'Historical Data'!K31)</f>
        <v>0.17190494706148407</v>
      </c>
      <c r="AR31" s="50"/>
      <c r="AS31" s="50"/>
      <c r="AT31" s="85" t="s">
        <v>73</v>
      </c>
      <c r="AU31" s="96" t="s">
        <v>74</v>
      </c>
      <c r="AV31" s="86" t="s">
        <v>75</v>
      </c>
      <c r="AW31" s="50"/>
      <c r="AX31" s="50"/>
    </row>
    <row r="32" spans="1:50" ht="29.25">
      <c r="A32" s="8">
        <v>44958</v>
      </c>
      <c r="B32" s="4">
        <f>LN('Historical Data'!B33/'Historical Data'!B32)</f>
        <v>0.11364681026400918</v>
      </c>
      <c r="C32" s="4">
        <f>LN('Historical Data'!C33/'Historical Data'!C32)</f>
        <v>9.1801963799877331E-2</v>
      </c>
      <c r="D32" s="4">
        <f>LN('Historical Data'!D33/'Historical Data'!D32)</f>
        <v>7.6504017123988563E-2</v>
      </c>
      <c r="E32" s="4">
        <f>LN('Historical Data'!E33/'Historical Data'!E32)</f>
        <v>0.14131550998274967</v>
      </c>
      <c r="F32" s="4">
        <f>LN('Historical Data'!F33/'Historical Data'!F32)</f>
        <v>2.2597182931267858E-2</v>
      </c>
      <c r="G32" s="4">
        <f>LN('Historical Data'!G33/'Historical Data'!G32)</f>
        <v>0.19186019580152111</v>
      </c>
      <c r="H32" s="4">
        <f>LN('Historical Data'!H33/'Historical Data'!H32)</f>
        <v>0.14736474026643281</v>
      </c>
      <c r="I32" s="4">
        <f>LN('Historical Data'!I33/'Historical Data'!I32)</f>
        <v>0.17936694500337019</v>
      </c>
      <c r="J32" s="4">
        <f>LN('Historical Data'!J33/'Historical Data'!J32)</f>
        <v>6.1243763453708251E-2</v>
      </c>
      <c r="K32" s="4">
        <f>LN('Historical Data'!K33/'Historical Data'!K32)</f>
        <v>8.4711400392992759E-3</v>
      </c>
      <c r="AR32" s="50"/>
      <c r="AS32" s="50"/>
      <c r="AT32" s="85" t="s">
        <v>76</v>
      </c>
      <c r="AU32" s="61" t="s">
        <v>77</v>
      </c>
      <c r="AV32" s="86" t="s">
        <v>78</v>
      </c>
      <c r="AW32" s="50"/>
      <c r="AX32" s="50"/>
    </row>
    <row r="33" spans="1:50">
      <c r="A33" s="8">
        <v>44986</v>
      </c>
      <c r="B33" s="4">
        <f>LN('Historical Data'!B34/'Historical Data'!B33)</f>
        <v>2.8574955117446083E-2</v>
      </c>
      <c r="C33" s="4">
        <f>LN('Historical Data'!C34/'Historical Data'!C33)</f>
        <v>2.0696340906241388E-2</v>
      </c>
      <c r="D33" s="4">
        <f>LN('Historical Data'!D34/'Historical Data'!D33)</f>
        <v>-1.6550935615806853E-2</v>
      </c>
      <c r="E33" s="4">
        <f>LN('Historical Data'!E34/'Historical Data'!E33)</f>
        <v>3.4209310116949311E-2</v>
      </c>
      <c r="F33" s="4">
        <f>LN('Historical Data'!F34/'Historical Data'!F33)</f>
        <v>4.4718852210020713E-2</v>
      </c>
      <c r="G33" s="4">
        <f>LN('Historical Data'!G34/'Historical Data'!G33)</f>
        <v>0.12566853006121023</v>
      </c>
      <c r="H33" s="4">
        <f>LN('Historical Data'!H34/'Historical Data'!H33)</f>
        <v>6.3693048082205259E-2</v>
      </c>
      <c r="I33" s="4">
        <f>LN('Historical Data'!I34/'Historical Data'!I33)</f>
        <v>-8.3888705846998154E-4</v>
      </c>
      <c r="J33" s="4">
        <f>LN('Historical Data'!J34/'Historical Data'!J33)</f>
        <v>1.918619566135344E-2</v>
      </c>
      <c r="K33" s="4">
        <f>LN('Historical Data'!K34/'Historical Data'!K33)</f>
        <v>-0.23318366253994235</v>
      </c>
      <c r="AR33" s="50"/>
      <c r="AS33" s="50"/>
      <c r="AT33" s="88" t="s">
        <v>79</v>
      </c>
      <c r="AU33" s="97">
        <v>0.25</v>
      </c>
      <c r="AV33" s="89" t="s">
        <v>80</v>
      </c>
      <c r="AW33" s="50"/>
      <c r="AX33" s="50"/>
    </row>
    <row r="34" spans="1:50">
      <c r="A34" s="8">
        <v>45017</v>
      </c>
      <c r="B34" s="4">
        <f>LN('Historical Data'!B35/'Historical Data'!B34)</f>
        <v>4.3646740654785743E-2</v>
      </c>
      <c r="C34" s="4">
        <f>LN('Historical Data'!C35/'Historical Data'!C34)</f>
        <v>0.13407652613647589</v>
      </c>
      <c r="D34" s="4">
        <f>LN('Historical Data'!D35/'Historical Data'!D34)</f>
        <v>0.25436365139247047</v>
      </c>
      <c r="E34" s="4">
        <f>LN('Historical Data'!E35/'Historical Data'!E34)</f>
        <v>0.13512620371174827</v>
      </c>
      <c r="F34" s="4">
        <f>LN('Historical Data'!F35/'Historical Data'!F34)</f>
        <v>-3.8730776145965803E-2</v>
      </c>
      <c r="G34" s="4">
        <f>LN('Historical Data'!G35/'Historical Data'!G34)</f>
        <v>9.6701274793306563E-2</v>
      </c>
      <c r="H34" s="4">
        <f>LN('Historical Data'!H35/'Historical Data'!H34)</f>
        <v>6.6507591530747201E-2</v>
      </c>
      <c r="I34" s="4">
        <f>LN('Historical Data'!I35/'Historical Data'!I34)</f>
        <v>0.3100084685063052</v>
      </c>
      <c r="J34" s="4">
        <f>LN('Historical Data'!J35/'Historical Data'!J34)</f>
        <v>0.11612684476047516</v>
      </c>
      <c r="K34" s="4">
        <f>LN('Historical Data'!K35/'Historical Data'!K34)</f>
        <v>0.21602191024051604</v>
      </c>
      <c r="AR34" s="50"/>
      <c r="AS34" s="50"/>
      <c r="AT34" s="50"/>
      <c r="AU34" s="50"/>
      <c r="AV34" s="50"/>
      <c r="AW34" s="50"/>
      <c r="AX34" s="50"/>
    </row>
    <row r="35" spans="1:50">
      <c r="A35" s="8">
        <v>45047</v>
      </c>
      <c r="B35" s="4">
        <f>LN('Historical Data'!B36/'Historical Data'!B35)</f>
        <v>9.1525026546210059E-2</v>
      </c>
      <c r="C35" s="4">
        <f>LN('Historical Data'!C36/'Historical Data'!C35)</f>
        <v>7.7986420908101345E-2</v>
      </c>
      <c r="D35" s="4">
        <f>LN('Historical Data'!D36/'Historical Data'!D35)</f>
        <v>7.1022334495610254E-2</v>
      </c>
      <c r="E35" s="4">
        <f>LN('Historical Data'!E36/'Historical Data'!E35)</f>
        <v>-2.6138382374356787E-2</v>
      </c>
      <c r="F35" s="4">
        <f>LN('Historical Data'!F36/'Historical Data'!F35)</f>
        <v>7.4620678435673451E-2</v>
      </c>
      <c r="G35" s="4">
        <f>LN('Historical Data'!G36/'Historical Data'!G35)</f>
        <v>8.0739806170775252E-2</v>
      </c>
      <c r="H35" s="4">
        <f>LN('Historical Data'!H36/'Historical Data'!H35)</f>
        <v>3.8514280197809961E-2</v>
      </c>
      <c r="I35" s="4">
        <f>LN('Historical Data'!I36/'Historical Data'!I35)</f>
        <v>0.11162599260197191</v>
      </c>
      <c r="J35" s="4">
        <f>LN('Historical Data'!J36/'Historical Data'!J35)</f>
        <v>0.11700596412027556</v>
      </c>
      <c r="K35" s="4">
        <f>LN('Historical Data'!K36/'Historical Data'!K35)</f>
        <v>0.24968945791439814</v>
      </c>
      <c r="AR35" s="50"/>
      <c r="AS35" s="50"/>
      <c r="AT35" s="50"/>
      <c r="AU35" s="50"/>
      <c r="AV35" s="50"/>
      <c r="AW35" s="50"/>
      <c r="AX35" s="50"/>
    </row>
    <row r="36" spans="1:50">
      <c r="A36" s="8">
        <v>45078</v>
      </c>
      <c r="B36" s="4">
        <f>LN('Historical Data'!B37/'Historical Data'!B36)</f>
        <v>1.2704269890204151E-2</v>
      </c>
      <c r="C36" s="4">
        <f>LN('Historical Data'!C37/'Historical Data'!C36)</f>
        <v>2.5149030317777449E-2</v>
      </c>
      <c r="D36" s="4">
        <f>LN('Historical Data'!D37/'Historical Data'!D36)</f>
        <v>4.0672273970770653E-2</v>
      </c>
      <c r="E36" s="4">
        <f>LN('Historical Data'!E37/'Historical Data'!E36)</f>
        <v>0.10325289755759523</v>
      </c>
      <c r="F36" s="4">
        <f>LN('Historical Data'!F37/'Historical Data'!F36)</f>
        <v>2.4886420305757144E-3</v>
      </c>
      <c r="G36" s="4">
        <f>LN('Historical Data'!G37/'Historical Data'!G36)</f>
        <v>0.10452397421839443</v>
      </c>
      <c r="H36" s="4">
        <f>LN('Historical Data'!H37/'Historical Data'!H36)</f>
        <v>-1.3659572284661716E-2</v>
      </c>
      <c r="I36" s="4">
        <f>LN('Historical Data'!I37/'Historical Data'!I36)</f>
        <v>9.9634252317349001E-2</v>
      </c>
      <c r="J36" s="4">
        <f>LN('Historical Data'!J37/'Historical Data'!J36)</f>
        <v>-1.5741179533297088E-2</v>
      </c>
      <c r="K36" s="4">
        <f>LN('Historical Data'!K37/'Historical Data'!K36)</f>
        <v>2.139159422964413E-2</v>
      </c>
      <c r="AR36" s="50"/>
      <c r="AS36" s="50"/>
      <c r="AT36" s="50"/>
      <c r="AU36" s="50"/>
      <c r="AV36" s="50"/>
      <c r="AW36" s="50"/>
      <c r="AX36" s="50"/>
    </row>
    <row r="37" spans="1:50">
      <c r="A37" s="8">
        <v>45108</v>
      </c>
      <c r="B37" s="4">
        <f>LN('Historical Data'!B38/'Historical Data'!B37)</f>
        <v>-4.465762314938438E-2</v>
      </c>
      <c r="C37" s="4">
        <f>LN('Historical Data'!C38/'Historical Data'!C37)</f>
        <v>3.1877262012810242E-2</v>
      </c>
      <c r="D37" s="4">
        <f>LN('Historical Data'!D38/'Historical Data'!D37)</f>
        <v>2.6616364073018595E-2</v>
      </c>
      <c r="E37" s="4">
        <f>LN('Historical Data'!E38/'Historical Data'!E37)</f>
        <v>2.5662693421771608E-2</v>
      </c>
      <c r="F37" s="4">
        <f>LN('Historical Data'!F38/'Historical Data'!F37)</f>
        <v>4.695934602444031E-2</v>
      </c>
      <c r="G37" s="4">
        <f>LN('Historical Data'!G38/'Historical Data'!G37)</f>
        <v>-7.3948768964133396E-2</v>
      </c>
      <c r="H37" s="4">
        <f>LN('Historical Data'!H38/'Historical Data'!H37)</f>
        <v>-2.4591492348636026E-2</v>
      </c>
      <c r="I37" s="4">
        <f>LN('Historical Data'!I38/'Historical Data'!I37)</f>
        <v>5.4674179307856619E-2</v>
      </c>
      <c r="J37" s="4">
        <f>LN('Historical Data'!J38/'Historical Data'!J37)</f>
        <v>3.0102138591932014E-2</v>
      </c>
      <c r="K37" s="4">
        <f>LN('Historical Data'!K38/'Historical Data'!K37)</f>
        <v>-3.5588235471399533E-2</v>
      </c>
    </row>
    <row r="38" spans="1:50">
      <c r="A38" s="8">
        <v>45139</v>
      </c>
      <c r="B38" s="4">
        <f>LN('Historical Data'!B39/'Historical Data'!B38)</f>
        <v>-9.1509863423703222E-2</v>
      </c>
      <c r="C38" s="4">
        <f>LN('Historical Data'!C39/'Historical Data'!C38)</f>
        <v>-8.2194624071487962E-2</v>
      </c>
      <c r="D38" s="4">
        <f>LN('Historical Data'!D39/'Historical Data'!D38)</f>
        <v>-0.10538582429865745</v>
      </c>
      <c r="E38" s="4">
        <f>LN('Historical Data'!E39/'Historical Data'!E38)</f>
        <v>-3.977660188458601E-2</v>
      </c>
      <c r="F38" s="4">
        <f>LN('Historical Data'!F39/'Historical Data'!F38)</f>
        <v>-4.1388584008433191E-2</v>
      </c>
      <c r="G38" s="4">
        <f>LN('Historical Data'!G39/'Historical Data'!G38)</f>
        <v>1.4494695303634371E-2</v>
      </c>
      <c r="H38" s="4">
        <f>LN('Historical Data'!H39/'Historical Data'!H38)</f>
        <v>-3.5215879626693258E-2</v>
      </c>
      <c r="I38" s="4">
        <f>LN('Historical Data'!I39/'Historical Data'!I38)</f>
        <v>-0.12630114911429197</v>
      </c>
      <c r="J38" s="4">
        <f>LN('Historical Data'!J39/'Historical Data'!J38)</f>
        <v>-0.12805238791942097</v>
      </c>
      <c r="K38" s="4">
        <f>LN('Historical Data'!K39/'Historical Data'!K38)</f>
        <v>-3.0929083487644692E-2</v>
      </c>
    </row>
    <row r="39" spans="1:50">
      <c r="A39" s="8">
        <v>45170</v>
      </c>
      <c r="B39" s="4">
        <f>LN('Historical Data'!B40/'Historical Data'!B39)</f>
        <v>-2.5730615333689304E-3</v>
      </c>
      <c r="C39" s="4">
        <f>LN('Historical Data'!C40/'Historical Data'!C39)</f>
        <v>4.5894068870004315E-2</v>
      </c>
      <c r="D39" s="4">
        <f>LN('Historical Data'!D40/'Historical Data'!D39)</f>
        <v>1.8338872400862891E-2</v>
      </c>
      <c r="E39" s="4">
        <f>LN('Historical Data'!E40/'Historical Data'!E39)</f>
        <v>-5.3201071807852718E-2</v>
      </c>
      <c r="F39" s="4">
        <f>LN('Historical Data'!F40/'Historical Data'!F39)</f>
        <v>-5.0667569234192182E-2</v>
      </c>
      <c r="G39" s="4">
        <f>LN('Historical Data'!G40/'Historical Data'!G39)</f>
        <v>3.5242899079188043E-3</v>
      </c>
      <c r="H39" s="4">
        <f>LN('Historical Data'!H40/'Historical Data'!H39)</f>
        <v>6.8420410730397105E-2</v>
      </c>
      <c r="I39" s="4">
        <f>LN('Historical Data'!I40/'Historical Data'!I39)</f>
        <v>-6.4463866729323985E-2</v>
      </c>
      <c r="J39" s="4">
        <f>LN('Historical Data'!J40/'Historical Data'!J39)</f>
        <v>-2.407961914415124E-2</v>
      </c>
      <c r="K39" s="4">
        <f>LN('Historical Data'!K40/'Historical Data'!K39)</f>
        <v>-0.21983195972274922</v>
      </c>
    </row>
    <row r="40" spans="1:50">
      <c r="A40" s="8">
        <v>45200</v>
      </c>
      <c r="B40" s="4">
        <f>LN('Historical Data'!B41/'Historical Data'!B40)</f>
        <v>0.10644292946628002</v>
      </c>
      <c r="C40" s="4">
        <f>LN('Historical Data'!C41/'Historical Data'!C40)</f>
        <v>9.3197279045957968E-2</v>
      </c>
      <c r="D40" s="4">
        <f>LN('Historical Data'!D41/'Historical Data'!D40)</f>
        <v>9.555118513669858E-2</v>
      </c>
      <c r="E40" s="4">
        <f>LN('Historical Data'!E41/'Historical Data'!E40)</f>
        <v>6.5882358232858734E-2</v>
      </c>
      <c r="F40" s="4">
        <f>LN('Historical Data'!F41/'Historical Data'!F40)</f>
        <v>9.6384505247690822E-2</v>
      </c>
      <c r="G40" s="4">
        <f>LN('Historical Data'!G41/'Historical Data'!G40)</f>
        <v>8.2412118939687987E-2</v>
      </c>
      <c r="H40" s="4">
        <f>LN('Historical Data'!H41/'Historical Data'!H40)</f>
        <v>0.11392750699485865</v>
      </c>
      <c r="I40" s="4">
        <f>LN('Historical Data'!I41/'Historical Data'!I40)</f>
        <v>0.13705016797976891</v>
      </c>
      <c r="J40" s="4">
        <f>LN('Historical Data'!J41/'Historical Data'!J40)</f>
        <v>0.12044678645848823</v>
      </c>
      <c r="K40" s="4">
        <f>LN('Historical Data'!K41/'Historical Data'!K40)</f>
        <v>0.17846362996560694</v>
      </c>
    </row>
    <row r="41" spans="1:50">
      <c r="A41" s="8">
        <v>45231</v>
      </c>
      <c r="B41" s="4">
        <f>LN('Historical Data'!B42/'Historical Data'!B41)</f>
        <v>1.4807885558457926E-2</v>
      </c>
      <c r="C41" s="4">
        <f>LN('Historical Data'!C42/'Historical Data'!C41)</f>
        <v>3.9262835930652829E-2</v>
      </c>
      <c r="D41" s="4">
        <f>LN('Historical Data'!D42/'Historical Data'!D41)</f>
        <v>0.18714758378342786</v>
      </c>
      <c r="E41" s="4">
        <f>LN('Historical Data'!E42/'Historical Data'!E41)</f>
        <v>5.2616966541287453E-2</v>
      </c>
      <c r="F41" s="4">
        <f>LN('Historical Data'!F42/'Historical Data'!F41)</f>
        <v>3.0180422259170208E-2</v>
      </c>
      <c r="G41" s="4">
        <f>LN('Historical Data'!G42/'Historical Data'!G41)</f>
        <v>7.876502002976328E-2</v>
      </c>
      <c r="H41" s="4">
        <f>LN('Historical Data'!H42/'Historical Data'!H41)</f>
        <v>-5.5756156884544505E-3</v>
      </c>
      <c r="I41" s="4">
        <f>LN('Historical Data'!I42/'Historical Data'!I41)</f>
        <v>5.7175065231845734E-2</v>
      </c>
      <c r="J41" s="4">
        <f>LN('Historical Data'!J42/'Historical Data'!J41)</f>
        <v>-9.7351841942483308E-2</v>
      </c>
      <c r="K41" s="4">
        <f>LN('Historical Data'!K42/'Historical Data'!K41)</f>
        <v>3.439015826826522E-2</v>
      </c>
    </row>
    <row r="42" spans="1:50">
      <c r="A42" s="8">
        <v>45261</v>
      </c>
      <c r="B42" s="4">
        <f>LN('Historical Data'!B43/'Historical Data'!B42)</f>
        <v>-4.3144957906549132E-2</v>
      </c>
      <c r="C42" s="4">
        <f>LN('Historical Data'!C43/'Historical Data'!C42)</f>
        <v>2.1228901674042767E-2</v>
      </c>
      <c r="D42" s="4">
        <f>LN('Historical Data'!D43/'Historical Data'!D42)</f>
        <v>6.0126842437214202E-2</v>
      </c>
      <c r="E42" s="4">
        <f>LN('Historical Data'!E43/'Historical Data'!E42)</f>
        <v>2.9301123803818375E-3</v>
      </c>
      <c r="F42" s="4">
        <f>LN('Historical Data'!F43/'Historical Data'!F42)</f>
        <v>5.1899228156258442E-2</v>
      </c>
      <c r="G42" s="4">
        <f>LN('Historical Data'!G43/'Historical Data'!G42)</f>
        <v>9.7321668426132601E-2</v>
      </c>
      <c r="H42" s="4">
        <f>LN('Historical Data'!H43/'Historical Data'!H42)</f>
        <v>5.5700700580903331E-2</v>
      </c>
      <c r="I42" s="4">
        <f>LN('Historical Data'!I43/'Historical Data'!I42)</f>
        <v>0.2171470858522099</v>
      </c>
      <c r="J42" s="4">
        <f>LN('Historical Data'!J43/'Historical Data'!J42)</f>
        <v>5.7769965221998926E-2</v>
      </c>
      <c r="K42" s="4">
        <f>LN('Historical Data'!K43/'Historical Data'!K42)</f>
        <v>-0.28270414165861452</v>
      </c>
    </row>
    <row r="43" spans="1:50">
      <c r="A43" s="8">
        <v>45292</v>
      </c>
      <c r="B43" s="4">
        <f>LN('Historical Data'!B44/'Historical Data'!B43)</f>
        <v>-1.9992689868358709E-2</v>
      </c>
      <c r="C43" s="4">
        <f>LN('Historical Data'!C44/'Historical Data'!C43)</f>
        <v>0.1300782725134208</v>
      </c>
      <c r="D43" s="4">
        <f>LN('Historical Data'!D44/'Historical Data'!D43)</f>
        <v>9.7227178204067247E-2</v>
      </c>
      <c r="E43" s="4">
        <f>LN('Historical Data'!E44/'Historical Data'!E43)</f>
        <v>-1.1774499410360764E-2</v>
      </c>
      <c r="F43" s="4">
        <f>LN('Historical Data'!F44/'Historical Data'!F43)</f>
        <v>5.6849523171375725E-2</v>
      </c>
      <c r="G43" s="4">
        <f>LN('Historical Data'!G44/'Historical Data'!G43)</f>
        <v>0.22816509890920028</v>
      </c>
      <c r="H43" s="4">
        <f>LN('Historical Data'!H44/'Historical Data'!H43)</f>
        <v>3.959990358943765E-2</v>
      </c>
      <c r="I43" s="4">
        <f>LN('Historical Data'!I44/'Historical Data'!I43)</f>
        <v>0.25138848615801102</v>
      </c>
      <c r="J43" s="4">
        <f>LN('Historical Data'!J44/'Historical Data'!J43)</f>
        <v>3.6879190645804439E-3</v>
      </c>
      <c r="K43" s="4">
        <f>LN('Historical Data'!K44/'Historical Data'!K43)</f>
        <v>7.5015243730299289E-2</v>
      </c>
    </row>
    <row r="44" spans="1:50">
      <c r="A44" s="8">
        <v>45323</v>
      </c>
      <c r="B44" s="4">
        <f>LN('Historical Data'!B45/'Historical Data'!B44)</f>
        <v>-5.1372436126996636E-2</v>
      </c>
      <c r="C44" s="4">
        <f>LN('Historical Data'!C45/'Historical Data'!C44)</f>
        <v>2.0272856475022888E-2</v>
      </c>
      <c r="D44" s="4">
        <f>LN('Historical Data'!D45/'Historical Data'!D44)</f>
        <v>1.8980548516391294E-2</v>
      </c>
      <c r="E44" s="4">
        <f>LN('Historical Data'!E45/'Historical Data'!E44)</f>
        <v>8.6234110240620193E-2</v>
      </c>
      <c r="F44" s="4">
        <f>LN('Historical Data'!F45/'Historical Data'!F44)</f>
        <v>1.4241837560920054E-2</v>
      </c>
      <c r="G44" s="4">
        <f>LN('Historical Data'!G45/'Historical Data'!G44)</f>
        <v>-8.2662160190054342E-3</v>
      </c>
      <c r="H44" s="4">
        <f>LN('Historical Data'!H45/'Historical Data'!H44)</f>
        <v>1.8819120395825964E-2</v>
      </c>
      <c r="I44" s="4">
        <f>LN('Historical Data'!I45/'Historical Data'!I44)</f>
        <v>0.13289289689031697</v>
      </c>
      <c r="J44" s="4">
        <f>LN('Historical Data'!J45/'Historical Data'!J44)</f>
        <v>0.11754440717623406</v>
      </c>
      <c r="K44" s="4">
        <f>LN('Historical Data'!K45/'Historical Data'!K44)</f>
        <v>-0.13838336066026199</v>
      </c>
    </row>
    <row r="45" spans="1:50">
      <c r="A45" s="8">
        <v>45352</v>
      </c>
      <c r="B45" s="4">
        <f>LN('Historical Data'!B46/'Historical Data'!B45)</f>
        <v>-6.7289048227977804E-3</v>
      </c>
      <c r="C45" s="4">
        <f>LN('Historical Data'!C46/'Historical Data'!C45)</f>
        <v>-3.0279762814048001E-2</v>
      </c>
      <c r="D45" s="4">
        <f>LN('Historical Data'!D46/'Historical Data'!D45)</f>
        <v>-1.4899878856964232E-2</v>
      </c>
      <c r="E45" s="4">
        <f>LN('Historical Data'!E46/'Historical Data'!E45)</f>
        <v>7.5583905512683666E-2</v>
      </c>
      <c r="F45" s="4">
        <f>LN('Historical Data'!F46/'Historical Data'!F45)</f>
        <v>-6.5140780328364192E-2</v>
      </c>
      <c r="G45" s="4">
        <f>LN('Historical Data'!G46/'Historical Data'!G45)</f>
        <v>-0.12116349554822556</v>
      </c>
      <c r="H45" s="4">
        <f>LN('Historical Data'!H46/'Historical Data'!H45)</f>
        <v>-7.754035269129618E-2</v>
      </c>
      <c r="I45" s="4">
        <f>LN('Historical Data'!I46/'Historical Data'!I45)</f>
        <v>-4.4699830913124336E-2</v>
      </c>
      <c r="J45" s="4">
        <f>LN('Historical Data'!J46/'Historical Data'!J45)</f>
        <v>-9.9178971444972758E-2</v>
      </c>
      <c r="K45" s="4">
        <f>LN('Historical Data'!K46/'Historical Data'!K45)</f>
        <v>4.172493733344055E-2</v>
      </c>
    </row>
    <row r="46" spans="1:50">
      <c r="A46" s="8">
        <v>45383</v>
      </c>
      <c r="B46" s="4">
        <f>LN('Historical Data'!B47/'Historical Data'!B46)</f>
        <v>0.1210587863632492</v>
      </c>
      <c r="C46" s="4">
        <f>LN('Historical Data'!C47/'Historical Data'!C46)</f>
        <v>8.1949013132249712E-3</v>
      </c>
      <c r="D46" s="4">
        <f>LN('Historical Data'!D47/'Historical Data'!D46)</f>
        <v>2.1516050536095385E-2</v>
      </c>
      <c r="E46" s="4">
        <f>LN('Historical Data'!E47/'Historical Data'!E46)</f>
        <v>5.7997520517486773E-2</v>
      </c>
      <c r="F46" s="4">
        <f>LN('Historical Data'!F47/'Historical Data'!F46)</f>
        <v>-7.8113731298553608E-3</v>
      </c>
      <c r="G46" s="4">
        <f>LN('Historical Data'!G47/'Historical Data'!G46)</f>
        <v>8.1784588705714423E-2</v>
      </c>
      <c r="H46" s="4">
        <f>LN('Historical Data'!H47/'Historical Data'!H46)</f>
        <v>6.416452814699293E-2</v>
      </c>
      <c r="I46" s="4">
        <f>LN('Historical Data'!I47/'Historical Data'!I46)</f>
        <v>0.23812762950743169</v>
      </c>
      <c r="J46" s="4">
        <f>LN('Historical Data'!J47/'Historical Data'!J46)</f>
        <v>3.3015574507320136E-2</v>
      </c>
      <c r="K46" s="4">
        <f>LN('Historical Data'!K47/'Historical Data'!K46)</f>
        <v>-2.8782150618005268E-2</v>
      </c>
    </row>
    <row r="47" spans="1:50">
      <c r="A47" s="8">
        <v>45413</v>
      </c>
      <c r="B47" s="4">
        <f>LN('Historical Data'!B48/'Historical Data'!B47)</f>
        <v>9.2614080821329867E-2</v>
      </c>
      <c r="C47" s="4">
        <f>LN('Historical Data'!C48/'Historical Data'!C47)</f>
        <v>9.1003812230792416E-2</v>
      </c>
      <c r="D47" s="4">
        <f>LN('Historical Data'!D48/'Historical Data'!D47)</f>
        <v>0.18936557968972126</v>
      </c>
      <c r="E47" s="4">
        <f>LN('Historical Data'!E48/'Historical Data'!E47)</f>
        <v>5.4433293071800067E-2</v>
      </c>
      <c r="F47" s="4">
        <f>LN('Historical Data'!F48/'Historical Data'!F47)</f>
        <v>-1.3307433172125922E-2</v>
      </c>
      <c r="G47" s="4">
        <f>LN('Historical Data'!G48/'Historical Data'!G47)</f>
        <v>7.7047636984031068E-2</v>
      </c>
      <c r="H47" s="4">
        <f>LN('Historical Data'!H48/'Historical Data'!H47)</f>
        <v>7.565711276367755E-2</v>
      </c>
      <c r="I47" s="4">
        <f>LN('Historical Data'!I48/'Historical Data'!I47)</f>
        <v>0.11942670510430242</v>
      </c>
      <c r="J47" s="4">
        <f>LN('Historical Data'!J48/'Historical Data'!J47)</f>
        <v>0.18638059482348956</v>
      </c>
      <c r="K47" s="4">
        <f>LN('Historical Data'!K48/'Historical Data'!K47)</f>
        <v>0.10542789883227302</v>
      </c>
    </row>
    <row r="48" spans="1:50">
      <c r="A48" s="8">
        <v>45444</v>
      </c>
      <c r="B48" s="4">
        <f>LN('Historical Data'!B49/'Historical Data'!B48)</f>
        <v>5.2982467636896319E-2</v>
      </c>
      <c r="C48" s="4">
        <f>LN('Historical Data'!C49/'Historical Data'!C48)</f>
        <v>-3.2983028204361768E-2</v>
      </c>
      <c r="D48" s="4">
        <f>LN('Historical Data'!D49/'Historical Data'!D48)</f>
        <v>3.9612319091233061E-3</v>
      </c>
      <c r="E48" s="4">
        <f>LN('Historical Data'!E49/'Historical Data'!E48)</f>
        <v>-5.8867034034286052E-2</v>
      </c>
      <c r="F48" s="4">
        <f>LN('Historical Data'!F49/'Historical Data'!F48)</f>
        <v>4.9851534670772961E-2</v>
      </c>
      <c r="G48" s="4">
        <f>LN('Historical Data'!G49/'Historical Data'!G48)</f>
        <v>-5.906352286096573E-2</v>
      </c>
      <c r="H48" s="4">
        <f>LN('Historical Data'!H49/'Historical Data'!H48)</f>
        <v>-6.6128295162811698E-2</v>
      </c>
      <c r="I48" s="4">
        <f>LN('Historical Data'!I49/'Historical Data'!I48)</f>
        <v>-5.4138578147419666E-2</v>
      </c>
      <c r="J48" s="4">
        <f>LN('Historical Data'!J49/'Historical Data'!J48)</f>
        <v>-1.2471136235338492E-2</v>
      </c>
      <c r="K48" s="4">
        <f>LN('Historical Data'!K49/'Historical Data'!K48)</f>
        <v>0.15937826393515947</v>
      </c>
    </row>
    <row r="49" spans="1:12">
      <c r="A49" s="8">
        <v>45474</v>
      </c>
      <c r="B49" s="4">
        <f>LN('Historical Data'!B50/'Historical Data'!B49)</f>
        <v>3.068396921024014E-2</v>
      </c>
      <c r="C49" s="4">
        <f>LN('Historical Data'!C50/'Historical Data'!C49)</f>
        <v>-4.6413058043475758E-2</v>
      </c>
      <c r="D49" s="4">
        <f>LN('Historical Data'!D50/'Historical Data'!D49)</f>
        <v>1.3230060830966475E-2</v>
      </c>
      <c r="E49" s="4">
        <f>LN('Historical Data'!E50/'Historical Data'!E49)</f>
        <v>-4.8737662183776335E-2</v>
      </c>
      <c r="F49" s="4">
        <f>LN('Historical Data'!F50/'Historical Data'!F49)</f>
        <v>4.2941192675674547E-2</v>
      </c>
      <c r="G49" s="4">
        <f>LN('Historical Data'!G50/'Historical Data'!G49)</f>
        <v>9.3387938880244464E-2</v>
      </c>
      <c r="H49" s="4">
        <f>LN('Historical Data'!H50/'Historical Data'!H49)</f>
        <v>-2.8966923351103767E-3</v>
      </c>
      <c r="I49" s="4">
        <f>LN('Historical Data'!I50/'Historical Data'!I49)</f>
        <v>1.9883686113447131E-2</v>
      </c>
      <c r="J49" s="4">
        <f>LN('Historical Data'!J50/'Historical Data'!J49)</f>
        <v>1.5927339377539446E-2</v>
      </c>
      <c r="K49" s="4">
        <f>LN('Historical Data'!K50/'Historical Data'!K49)</f>
        <v>-8.0549148643581495E-2</v>
      </c>
    </row>
    <row r="50" spans="1:12">
      <c r="A50" s="8">
        <v>45505</v>
      </c>
      <c r="B50" s="4">
        <f>LN('Historical Data'!B51/'Historical Data'!B50)</f>
        <v>1.8473262923187156E-2</v>
      </c>
      <c r="C50" s="4">
        <f>LN('Historical Data'!C51/'Historical Data'!C50)</f>
        <v>4.2930694019627513E-2</v>
      </c>
      <c r="D50" s="4">
        <f>LN('Historical Data'!D51/'Historical Data'!D50)</f>
        <v>5.7752199032609211E-2</v>
      </c>
      <c r="E50" s="4">
        <f>LN('Historical Data'!E51/'Historical Data'!E50)</f>
        <v>1.5005011935107027E-2</v>
      </c>
      <c r="F50" s="4">
        <f>LN('Historical Data'!F51/'Historical Data'!F50)</f>
        <v>2.1410164808637687E-2</v>
      </c>
      <c r="G50" s="4">
        <f>LN('Historical Data'!G51/'Historical Data'!G50)</f>
        <v>9.3563141858780313E-2</v>
      </c>
      <c r="H50" s="4">
        <f>LN('Historical Data'!H51/'Historical Data'!H50)</f>
        <v>3.2861651968684527E-2</v>
      </c>
      <c r="I50" s="4">
        <f>LN('Historical Data'!I51/'Historical Data'!I50)</f>
        <v>1.7192152936688566E-2</v>
      </c>
      <c r="J50" s="4">
        <f>LN('Historical Data'!J51/'Historical Data'!J50)</f>
        <v>0.18733447771846443</v>
      </c>
      <c r="K50" s="4">
        <f>LN('Historical Data'!K51/'Historical Data'!K50)</f>
        <v>0.20044139025591809</v>
      </c>
    </row>
    <row r="51" spans="1:12">
      <c r="A51" s="8">
        <v>45536</v>
      </c>
      <c r="B51" s="4">
        <f>LN('Historical Data'!B52/'Historical Data'!B51)</f>
        <v>-3.090152026798262E-2</v>
      </c>
      <c r="C51" s="4">
        <f>LN('Historical Data'!C52/'Historical Data'!C51)</f>
        <v>3.7560701216951986E-4</v>
      </c>
      <c r="D51" s="4">
        <f>LN('Historical Data'!D52/'Historical Data'!D51)</f>
        <v>-1.2669144532561731E-2</v>
      </c>
      <c r="E51" s="4">
        <f>LN('Historical Data'!E52/'Historical Data'!E51)</f>
        <v>3.2548791882411866E-2</v>
      </c>
      <c r="F51" s="4">
        <f>LN('Historical Data'!F52/'Historical Data'!F51)</f>
        <v>1.1657227709234271E-2</v>
      </c>
      <c r="G51" s="4">
        <f>LN('Historical Data'!G52/'Historical Data'!G51)</f>
        <v>-7.5725150984857336E-3</v>
      </c>
      <c r="H51" s="4">
        <f>LN('Historical Data'!H52/'Historical Data'!H51)</f>
        <v>-5.7267694658911489E-2</v>
      </c>
      <c r="I51" s="4">
        <f>LN('Historical Data'!I52/'Historical Data'!I51)</f>
        <v>8.9208670987409852E-2</v>
      </c>
      <c r="J51" s="4">
        <f>LN('Historical Data'!J52/'Historical Data'!J51)</f>
        <v>-1.5137462385631574E-2</v>
      </c>
      <c r="K51" s="4">
        <f>LN('Historical Data'!K52/'Historical Data'!K51)</f>
        <v>-4.6070554116789973E-2</v>
      </c>
    </row>
    <row r="52" spans="1:12">
      <c r="A52" s="8">
        <v>45566</v>
      </c>
      <c r="B52" s="4">
        <f>LN('Historical Data'!B53/'Historical Data'!B52)</f>
        <v>4.9314895158928958E-2</v>
      </c>
      <c r="C52" s="4">
        <f>LN('Historical Data'!C53/'Historical Data'!C52)</f>
        <v>0.1091141914075318</v>
      </c>
      <c r="D52" s="4">
        <f>LN('Historical Data'!D53/'Historical Data'!D52)</f>
        <v>-4.6354474072232837E-2</v>
      </c>
      <c r="E52" s="4">
        <f>LN('Historical Data'!E53/'Historical Data'!E52)</f>
        <v>-1.2703716289766747E-2</v>
      </c>
      <c r="F52" s="4">
        <f>LN('Historical Data'!F53/'Historical Data'!F52)</f>
        <v>6.5949681456610135E-2</v>
      </c>
      <c r="G52" s="4">
        <f>LN('Historical Data'!G53/'Historical Data'!G52)</f>
        <v>1.1804893708297072E-2</v>
      </c>
      <c r="H52" s="4">
        <f>LN('Historical Data'!H53/'Historical Data'!H52)</f>
        <v>4.1244188219432196E-2</v>
      </c>
      <c r="I52" s="4">
        <f>LN('Historical Data'!I53/'Historical Data'!I52)</f>
        <v>4.052044667082088E-2</v>
      </c>
      <c r="J52" s="4">
        <f>LN('Historical Data'!J53/'Historical Data'!J52)</f>
        <v>9.8725366541661544E-2</v>
      </c>
      <c r="K52" s="4">
        <f>LN('Historical Data'!K53/'Historical Data'!K52)</f>
        <v>0.32314733984989286</v>
      </c>
    </row>
    <row r="53" spans="1:12">
      <c r="A53" s="8">
        <v>45597</v>
      </c>
      <c r="B53" s="4">
        <f>LN('Historical Data'!B54/'Historical Data'!B53)</f>
        <v>5.4787533346067847E-2</v>
      </c>
      <c r="C53" s="4">
        <f>LN('Historical Data'!C54/'Historical Data'!C53)</f>
        <v>5.3841874291946805E-2</v>
      </c>
      <c r="D53" s="4">
        <f>LN('Historical Data'!D54/'Historical Data'!D53)</f>
        <v>0.35795762597005215</v>
      </c>
      <c r="E53" s="4">
        <f>LN('Historical Data'!E54/'Historical Data'!E53)</f>
        <v>0.11373050870199757</v>
      </c>
      <c r="F53" s="4">
        <f>LN('Historical Data'!F54/'Historical Data'!F53)</f>
        <v>-1.2024553658868063E-2</v>
      </c>
      <c r="G53" s="4">
        <f>LN('Historical Data'!G54/'Historical Data'!G53)</f>
        <v>1.929648710352258E-2</v>
      </c>
      <c r="H53" s="4">
        <f>LN('Historical Data'!H54/'Historical Data'!H53)</f>
        <v>-2.6396642276690797E-3</v>
      </c>
      <c r="I53" s="4">
        <f>LN('Historical Data'!I54/'Historical Data'!I53)</f>
        <v>-2.9062255247423743E-2</v>
      </c>
      <c r="J53" s="4">
        <f>LN('Historical Data'!J54/'Historical Data'!J53)</f>
        <v>-0.10365444371966073</v>
      </c>
      <c r="K53" s="4">
        <f>LN('Historical Data'!K54/'Historical Data'!K53)</f>
        <v>0.15701068227268675</v>
      </c>
    </row>
    <row r="54" spans="1:12">
      <c r="A54" s="8">
        <v>45627</v>
      </c>
      <c r="B54" s="4">
        <f>LN('Historical Data'!B55/'Historical Data'!B54)</f>
        <v>-5.9307734052308728E-2</v>
      </c>
      <c r="C54" s="4">
        <f>LN('Historical Data'!C55/'Historical Data'!C54)</f>
        <v>8.0074263203382873E-2</v>
      </c>
      <c r="D54" s="4">
        <f>LN('Historical Data'!D55/'Historical Data'!D54)</f>
        <v>-4.3988312940377625E-2</v>
      </c>
      <c r="E54" s="4">
        <f>LN('Historical Data'!E55/'Historical Data'!E54)</f>
        <v>7.6030048629823127E-2</v>
      </c>
      <c r="F54" s="4">
        <f>LN('Historical Data'!F55/'Historical Data'!F54)</f>
        <v>5.3358623794751016E-2</v>
      </c>
      <c r="G54" s="4">
        <f>LN('Historical Data'!G55/'Historical Data'!G54)</f>
        <v>0.16382550758638034</v>
      </c>
      <c r="H54" s="4">
        <f>LN('Historical Data'!H55/'Historical Data'!H54)</f>
        <v>-1.5396914910852239E-2</v>
      </c>
      <c r="I54" s="4">
        <f>LN('Historical Data'!I55/'Historical Data'!I54)</f>
        <v>-0.11185739729623077</v>
      </c>
      <c r="J54" s="4">
        <f>LN('Historical Data'!J55/'Historical Data'!J54)</f>
        <v>2.0315404748587101E-2</v>
      </c>
      <c r="K54" s="4">
        <f>LN('Historical Data'!K55/'Historical Data'!K54)</f>
        <v>1.8801648208516136E-3</v>
      </c>
    </row>
    <row r="55" spans="1:12">
      <c r="A55" s="8">
        <v>45658</v>
      </c>
      <c r="B55" s="4">
        <f>LN('Historical Data'!B56/'Historical Data'!B55)</f>
        <v>2.4444370175878357E-2</v>
      </c>
      <c r="C55" s="4">
        <f>LN('Historical Data'!C56/'Historical Data'!C55)</f>
        <v>-0.11301907319465797</v>
      </c>
      <c r="D55" s="4">
        <f>LN('Historical Data'!D56/'Historical Data'!D55)</f>
        <v>-0.10392024639692474</v>
      </c>
      <c r="E55" s="4">
        <f>LN('Historical Data'!E56/'Historical Data'!E55)</f>
        <v>-0.18077355882844928</v>
      </c>
      <c r="F55" s="4">
        <f>LN('Historical Data'!F56/'Historical Data'!F55)</f>
        <v>3.8375599098080644E-2</v>
      </c>
      <c r="G55" s="4">
        <f>LN('Historical Data'!G56/'Historical Data'!G55)</f>
        <v>-3.0914794434586994E-2</v>
      </c>
      <c r="H55" s="4">
        <f>LN('Historical Data'!H56/'Historical Data'!H55)</f>
        <v>-4.4511876139467256E-2</v>
      </c>
      <c r="I55" s="4">
        <f>LN('Historical Data'!I56/'Historical Data'!I55)</f>
        <v>3.959826013835592E-2</v>
      </c>
      <c r="J55" s="4">
        <f>LN('Historical Data'!J56/'Historical Data'!J55)</f>
        <v>-2.1347459161905852E-2</v>
      </c>
      <c r="K55" s="4">
        <f>LN('Historical Data'!K56/'Historical Data'!K55)</f>
        <v>-0.32279457743202117</v>
      </c>
    </row>
    <row r="56" spans="1:12">
      <c r="A56" s="8">
        <v>45689</v>
      </c>
      <c r="B56" s="4">
        <f>LN('Historical Data'!B57/'Historical Data'!B56)</f>
        <v>-8.3914619440841831E-2</v>
      </c>
      <c r="C56" s="4">
        <f>LN('Historical Data'!C57/'Historical Data'!C56)</f>
        <v>-0.10951460018138329</v>
      </c>
      <c r="D56" s="4">
        <f>LN('Historical Data'!D57/'Historical Data'!D56)</f>
        <v>-0.17489789472231479</v>
      </c>
      <c r="E56" s="4">
        <f>LN('Historical Data'!E57/'Historical Data'!E56)</f>
        <v>-9.6344435143580889E-2</v>
      </c>
      <c r="F56" s="4">
        <f>LN('Historical Data'!F57/'Historical Data'!F56)</f>
        <v>-5.0151530248652619E-2</v>
      </c>
      <c r="G56" s="4">
        <f>LN('Historical Data'!G57/'Historical Data'!G56)</f>
        <v>-0.14785526247666125</v>
      </c>
      <c r="H56" s="4">
        <f>LN('Historical Data'!H57/'Historical Data'!H56)</f>
        <v>-5.394230591827405E-2</v>
      </c>
      <c r="I56" s="4">
        <f>LN('Historical Data'!I57/'Historical Data'!I56)</f>
        <v>-0.14202997527938754</v>
      </c>
      <c r="J56" s="4">
        <f>LN('Historical Data'!J57/'Historical Data'!J56)</f>
        <v>-0.17206436574276479</v>
      </c>
      <c r="K56" s="4">
        <f>LN('Historical Data'!K57/'Historical Data'!K56)</f>
        <v>-0.12265871571986731</v>
      </c>
    </row>
    <row r="57" spans="1:12">
      <c r="A57" s="8">
        <v>45717</v>
      </c>
      <c r="B57" s="4">
        <f>LN('Historical Data'!B58/'Historical Data'!B57)</f>
        <v>-4.4320876874360447E-2</v>
      </c>
      <c r="C57" s="4">
        <f>LN('Historical Data'!C58/'Historical Data'!C57)</f>
        <v>-3.117579266731578E-2</v>
      </c>
      <c r="D57" s="4">
        <f>LN('Historical Data'!D58/'Historical Data'!D57)</f>
        <v>0.14239614624617514</v>
      </c>
      <c r="E57" s="4">
        <f>LN('Historical Data'!E58/'Historical Data'!E57)</f>
        <v>2.7696891217681978E-2</v>
      </c>
      <c r="F57" s="4">
        <f>LN('Historical Data'!F58/'Historical Data'!F57)</f>
        <v>-1.0920509148451579E-4</v>
      </c>
      <c r="G57" s="4">
        <f>LN('Historical Data'!G58/'Historical Data'!G57)</f>
        <v>-4.7744663198005764E-2</v>
      </c>
      <c r="H57" s="4">
        <f>LN('Historical Data'!H58/'Historical Data'!H57)</f>
        <v>5.1578187367982753E-2</v>
      </c>
      <c r="I57" s="4">
        <f>LN('Historical Data'!I58/'Historical Data'!I57)</f>
        <v>5.0620854316162254E-3</v>
      </c>
      <c r="J57" s="4">
        <f>LN('Historical Data'!J58/'Historical Data'!J57)</f>
        <v>6.4873633877675996E-3</v>
      </c>
      <c r="K57" s="4">
        <f>LN('Historical Data'!K58/'Historical Data'!K57)</f>
        <v>8.5028654346040039E-2</v>
      </c>
    </row>
    <row r="58" spans="1:12">
      <c r="A58" s="8">
        <v>45748</v>
      </c>
      <c r="B58" s="4">
        <f>LN('Historical Data'!B59/'Historical Data'!B58)</f>
        <v>-5.6383367673479748E-2</v>
      </c>
      <c r="C58" s="4">
        <f>LN('Historical Data'!C59/'Historical Data'!C58)</f>
        <v>0.10584299332548866</v>
      </c>
      <c r="D58" s="4">
        <f>LN('Historical Data'!D59/'Historical Data'!D58)</f>
        <v>0.22928668885353229</v>
      </c>
      <c r="E58" s="4">
        <f>LN('Historical Data'!E59/'Historical Data'!E58)</f>
        <v>7.833610932493125E-2</v>
      </c>
      <c r="F58" s="4">
        <f>LN('Historical Data'!F59/'Historical Data'!F58)</f>
        <v>6.7836973067498363E-2</v>
      </c>
      <c r="G58" s="4">
        <f>LN('Historical Data'!G59/'Historical Data'!G58)</f>
        <v>0.16500491082838339</v>
      </c>
      <c r="H58" s="4">
        <f>LN('Historical Data'!H59/'Historical Data'!H58)</f>
        <v>0.15246488033430833</v>
      </c>
      <c r="I58" s="4">
        <f>LN('Historical Data'!I59/'Historical Data'!I58)</f>
        <v>0.21562358585006208</v>
      </c>
      <c r="J58" s="4">
        <f>LN('Historical Data'!J59/'Historical Data'!J58)</f>
        <v>0.16596642179740731</v>
      </c>
      <c r="K58" s="4">
        <f>LN('Historical Data'!K59/'Historical Data'!K58)</f>
        <v>0.20529308592299816</v>
      </c>
    </row>
    <row r="59" spans="1:12">
      <c r="A59" s="8">
        <v>45778</v>
      </c>
      <c r="B59" s="4">
        <f>LN('Historical Data'!B60/'Historical Data'!B59)</f>
        <v>2.259081457014863E-2</v>
      </c>
      <c r="C59" s="4">
        <f>LN('Historical Data'!C60/'Historical Data'!C59)</f>
        <v>6.7792209514485668E-2</v>
      </c>
      <c r="D59" s="4">
        <f>LN('Historical Data'!D60/'Historical Data'!D59)</f>
        <v>0.12990483651641627</v>
      </c>
      <c r="E59" s="4">
        <f>LN('Historical Data'!E60/'Historical Data'!E59)</f>
        <v>2.5807887672444109E-2</v>
      </c>
      <c r="F59" s="4">
        <f>LN('Historical Data'!F60/'Historical Data'!F59)</f>
        <v>-4.1241918587303777E-2</v>
      </c>
      <c r="G59" s="4">
        <f>LN('Historical Data'!G60/'Historical Data'!G59)</f>
        <v>0.13096244320498607</v>
      </c>
      <c r="H59" s="4">
        <f>LN('Historical Data'!H60/'Historical Data'!H59)</f>
        <v>7.9240193706366577E-2</v>
      </c>
      <c r="I59" s="4">
        <f>LN('Historical Data'!I60/'Historical Data'!I59)</f>
        <v>0.15629430925706592</v>
      </c>
      <c r="J59" s="4">
        <f>LN('Historical Data'!J60/'Historical Data'!J59)</f>
        <v>0.27822823612945036</v>
      </c>
      <c r="K59" s="4">
        <f>LN('Historical Data'!K60/'Historical Data'!K59)</f>
        <v>-8.678574344378566E-2</v>
      </c>
    </row>
    <row r="60" spans="1:12">
      <c r="A60" s="8">
        <v>45809</v>
      </c>
      <c r="B60" s="4">
        <f>LN('Historical Data'!B61/'Historical Data'!B60)</f>
        <v>1.1629829038112875E-2</v>
      </c>
      <c r="C60" s="4">
        <f>LN('Historical Data'!C61/'Historical Data'!C60)</f>
        <v>6.4940122421257351E-2</v>
      </c>
      <c r="D60" s="4">
        <f>LN('Historical Data'!D61/'Historical Data'!D60)</f>
        <v>6.5778202991614923E-2</v>
      </c>
      <c r="E60" s="4">
        <f>LN('Historical Data'!E61/'Historical Data'!E60)</f>
        <v>8.6394359386190833E-2</v>
      </c>
      <c r="F60" s="4">
        <f>LN('Historical Data'!F61/'Historical Data'!F60)</f>
        <v>8.029014177694414E-3</v>
      </c>
      <c r="G60" s="4">
        <f>LN('Historical Data'!G61/'Historical Data'!G60)</f>
        <v>4.7551402295751062E-2</v>
      </c>
      <c r="H60" s="4">
        <f>LN('Historical Data'!H61/'Historical Data'!H60)</f>
        <v>7.0044298596332141E-2</v>
      </c>
      <c r="I60" s="4">
        <f>LN('Historical Data'!I61/'Historical Data'!I60)</f>
        <v>0.11859094935910039</v>
      </c>
      <c r="J60" s="4">
        <f>LN('Historical Data'!J61/'Historical Data'!J60)</f>
        <v>0.14904735480651449</v>
      </c>
      <c r="K60" s="4">
        <f>LN('Historical Data'!K61/'Historical Data'!K60)</f>
        <v>-3.00056060666785E-2</v>
      </c>
    </row>
    <row r="61" spans="1:12">
      <c r="A61" s="8">
        <v>45839</v>
      </c>
      <c r="B61" s="4">
        <f>LN('Historical Data'!B62/'Historical Data'!B61)</f>
        <v>0.1118718004455873</v>
      </c>
      <c r="C61" s="4">
        <f>LN('Historical Data'!C62/'Historical Data'!C61)</f>
        <v>-2.2069086817987069E-2</v>
      </c>
      <c r="D61" s="4">
        <f>LN('Historical Data'!D62/'Historical Data'!D61)</f>
        <v>1.2485270109406874E-2</v>
      </c>
      <c r="E61" s="4">
        <f>LN('Historical Data'!E62/'Historical Data'!E61)</f>
        <v>0.10389502783124717</v>
      </c>
      <c r="F61" s="4">
        <f>LN('Historical Data'!F62/'Historical Data'!F61)</f>
        <v>5.0976663601983559E-2</v>
      </c>
      <c r="G61" s="4">
        <f>LN('Historical Data'!G62/'Historical Data'!G61)</f>
        <v>-4.5956121936437395E-2</v>
      </c>
      <c r="H61" s="4">
        <f>LN('Historical Data'!H62/'Historical Data'!H61)</f>
        <v>-5.1559697096131826E-2</v>
      </c>
      <c r="I61" s="4">
        <f>LN('Historical Data'!I62/'Historical Data'!I61)</f>
        <v>-2.0963741925078095E-2</v>
      </c>
      <c r="J61" s="4">
        <f>LN('Historical Data'!J62/'Historical Data'!J61)</f>
        <v>-0.11319539946525574</v>
      </c>
      <c r="K61" s="4">
        <f>LN('Historical Data'!K62/'Historical Data'!K61)</f>
        <v>7.9775673313112888E-2</v>
      </c>
    </row>
    <row r="62" spans="1:12">
      <c r="A62" s="8">
        <v>45870</v>
      </c>
      <c r="B62" s="4">
        <f>LN('Historical Data'!B63/'Historical Data'!B62)</f>
        <v>9.3605314940035864E-2</v>
      </c>
      <c r="C62" s="4">
        <f>LN('Historical Data'!C63/'Historical Data'!C62)</f>
        <v>-4.2050915272994226E-2</v>
      </c>
      <c r="D62" s="4">
        <f>LN('Historical Data'!D63/'Historical Data'!D62)</f>
        <v>0.10377556336566525</v>
      </c>
      <c r="E62" s="4">
        <f>LN('Historical Data'!E63/'Historical Data'!E62)</f>
        <v>0.13260368583841625</v>
      </c>
      <c r="F62" s="4">
        <f>LN('Historical Data'!F63/'Historical Data'!F62)</f>
        <v>-4.5502071748712646E-2</v>
      </c>
      <c r="G62" s="4">
        <f>LN('Historical Data'!G63/'Historical Data'!G62)</f>
        <v>-5.8652971497192338E-3</v>
      </c>
      <c r="H62" s="4">
        <f>LN('Historical Data'!H63/'Historical Data'!H62)</f>
        <v>2.3621924276929041E-2</v>
      </c>
      <c r="I62" s="4">
        <f>LN('Historical Data'!I63/'Historical Data'!I62)</f>
        <v>6.8770841774636007E-2</v>
      </c>
      <c r="J62" s="4">
        <f>LN('Historical Data'!J63/'Historical Data'!J62)</f>
        <v>0.21809820314316916</v>
      </c>
      <c r="K62" s="4">
        <f>LN('Historical Data'!K63/'Historical Data'!K62)</f>
        <v>0.28669317499177072</v>
      </c>
    </row>
    <row r="63" spans="1:12">
      <c r="A63" s="20">
        <v>45901</v>
      </c>
      <c r="B63" s="4">
        <f>LN('Historical Data'!B64/'Historical Data'!B63)</f>
        <v>-2.8602969676944572E-2</v>
      </c>
      <c r="C63" s="4">
        <f>LN('Historical Data'!C64/'Historical Data'!C63)</f>
        <v>-2.3501219834375267E-2</v>
      </c>
      <c r="D63" s="4">
        <f>LN('Historical Data'!D64/'Historical Data'!D63)</f>
        <v>7.2612593217592253E-2</v>
      </c>
      <c r="E63" s="4">
        <f>LN('Historical Data'!E64/'Historical Data'!E63)</f>
        <v>3.4704908697474966E-2</v>
      </c>
      <c r="F63" s="4">
        <f>LN('Historical Data'!F64/'Historical Data'!F63)</f>
        <v>-3.2527150379618827E-2</v>
      </c>
      <c r="G63" s="4">
        <f>LN('Historical Data'!G64/'Historical Data'!G63)</f>
        <v>-3.0175710620640162E-2</v>
      </c>
      <c r="H63" s="4">
        <f>LN('Historical Data'!H64/'Historical Data'!H63)</f>
        <v>-1.2316096469734869E-2</v>
      </c>
      <c r="I63" s="4">
        <f>LN('Historical Data'!I64/'Historical Data'!I63)</f>
        <v>-2.5841638089870434E-2</v>
      </c>
      <c r="J63" s="4">
        <f>LN('Historical Data'!J64/'Historical Data'!J63)</f>
        <v>0.10872862368549222</v>
      </c>
      <c r="K63" s="4">
        <f>LN('Historical Data'!K64/'Historical Data'!K63)</f>
        <v>-3.6570872165064397E-2</v>
      </c>
    </row>
    <row r="64" spans="1:12">
      <c r="A64" s="43" t="s">
        <v>12</v>
      </c>
      <c r="B64" s="22">
        <f>AVERAGE(B3:B63)</f>
        <v>1.2900316782046195E-2</v>
      </c>
      <c r="C64" s="22">
        <f>AVERAGE(C3:C63)</f>
        <v>5.0679945259195069E-3</v>
      </c>
      <c r="D64" s="22">
        <f>AVERAGE(D3:D63)</f>
        <v>3.9274075328775727E-2</v>
      </c>
      <c r="E64" s="22">
        <f>AVERAGE(E3:E63)</f>
        <v>2.0325732292115716E-2</v>
      </c>
      <c r="F64" s="22">
        <f>AVERAGE(F3:F63)</f>
        <v>8.4529559807241667E-3</v>
      </c>
      <c r="G64" s="22">
        <f>AVERAGE(G3:G63)</f>
        <v>1.6497689856701678E-2</v>
      </c>
      <c r="H64" s="22">
        <f>AVERAGE(H3:H63)</f>
        <v>1.5261162452496113E-2</v>
      </c>
      <c r="I64" s="22">
        <f>AVERAGE(I3:I63)</f>
        <v>4.2645290557284936E-2</v>
      </c>
      <c r="J64" s="22">
        <f>AVERAGE(J3:J63)</f>
        <v>2.836942359865189E-2</v>
      </c>
      <c r="K64" s="23">
        <f>AVERAGE(K3:K63)</f>
        <v>1.8000103140384159E-2</v>
      </c>
      <c r="L64" s="23">
        <f>AVERAGE(B64:K64)</f>
        <v>2.067947445151001E-2</v>
      </c>
    </row>
    <row r="65" spans="1:12" ht="18.75">
      <c r="A65" s="21" t="s">
        <v>13</v>
      </c>
      <c r="B65" s="24">
        <f>B64*12</f>
        <v>0.15480380138455435</v>
      </c>
      <c r="C65" s="24">
        <f>C64*12</f>
        <v>6.0815934311034082E-2</v>
      </c>
      <c r="D65" s="24">
        <f>D64*12</f>
        <v>0.47128890394530876</v>
      </c>
      <c r="E65" s="24">
        <f>E64*12</f>
        <v>0.24390878750538858</v>
      </c>
      <c r="F65" s="24">
        <f>F64*12</f>
        <v>0.10143547176869</v>
      </c>
      <c r="G65" s="24">
        <f>G64*12</f>
        <v>0.19797227828042013</v>
      </c>
      <c r="H65" s="24">
        <f>H64*12</f>
        <v>0.18313394942995337</v>
      </c>
      <c r="I65" s="24">
        <f>I64*12</f>
        <v>0.5117434866874192</v>
      </c>
      <c r="J65" s="24">
        <f>J64*12</f>
        <v>0.3404330831838227</v>
      </c>
      <c r="K65" s="25">
        <f>K64*12</f>
        <v>0.21600123768460991</v>
      </c>
      <c r="L65" s="23">
        <f>AVERAGE(B65:K65)</f>
        <v>0.2481536934181201</v>
      </c>
    </row>
    <row r="66" spans="1:12">
      <c r="A66" s="44" t="s">
        <v>14</v>
      </c>
      <c r="B66" s="26">
        <f>_xlfn.VAR.S(AAPL1)</f>
        <v>5.0962477069292867E-3</v>
      </c>
      <c r="C66" s="26">
        <f>_xlfn.VAR.S(C3:C64)</f>
        <v>7.4741094556301912E-3</v>
      </c>
      <c r="D66" s="26">
        <f>_xlfn.VAR.S(D3:D64)</f>
        <v>9.6221282949086728E-3</v>
      </c>
      <c r="E66" s="26">
        <f>_xlfn.VAR.S(E3:E64)</f>
        <v>6.0091084266450639E-3</v>
      </c>
      <c r="F66" s="26">
        <f>_xlfn.VAR.S(F3:F64)</f>
        <v>4.6605782407193128E-3</v>
      </c>
      <c r="G66" s="26">
        <f>_xlfn.VAR.S(G3:G64)</f>
        <v>1.4162000999482385E-2</v>
      </c>
      <c r="H66" s="26">
        <f>_xlfn.VAR.S(H3:H64)</f>
        <v>3.8336688639038431E-3</v>
      </c>
      <c r="I66" s="26">
        <f>_xlfn.VAR.S(I3:I64)</f>
        <v>1.9596191569281989E-2</v>
      </c>
      <c r="J66" s="26">
        <f>_xlfn.VAR.S(J3:J64)</f>
        <v>9.7933269948656029E-3</v>
      </c>
      <c r="K66" s="27">
        <f>_xlfn.VAR.S(K3:K64)</f>
        <v>3.0555443990937309E-2</v>
      </c>
      <c r="L66" s="23">
        <f>AVERAGE(B66:K66)</f>
        <v>1.1080280454330365E-2</v>
      </c>
    </row>
    <row r="67" spans="1:12" ht="18.75">
      <c r="A67" s="21" t="s">
        <v>15</v>
      </c>
      <c r="B67" s="24">
        <f>B66*12</f>
        <v>6.1154972483151437E-2</v>
      </c>
      <c r="C67" s="24">
        <f>C66*12</f>
        <v>8.9689313467562287E-2</v>
      </c>
      <c r="D67" s="24">
        <f>D66*12</f>
        <v>0.11546553953890407</v>
      </c>
      <c r="E67" s="24">
        <f>E66*12</f>
        <v>7.210930111974076E-2</v>
      </c>
      <c r="F67" s="24">
        <f>F66*12</f>
        <v>5.5926938888631754E-2</v>
      </c>
      <c r="G67" s="24">
        <f>G66*12</f>
        <v>0.16994401199378861</v>
      </c>
      <c r="H67" s="24">
        <f>H66*12</f>
        <v>4.6004026366846119E-2</v>
      </c>
      <c r="I67" s="24">
        <f>I66*12</f>
        <v>0.23515429883138386</v>
      </c>
      <c r="J67" s="24">
        <f>J66*12</f>
        <v>0.11751992393838723</v>
      </c>
      <c r="K67" s="25">
        <f>K66*12</f>
        <v>0.36666532789124773</v>
      </c>
      <c r="L67" s="23">
        <f>AVERAGE(B67:K67)</f>
        <v>0.13296336545196438</v>
      </c>
    </row>
    <row r="68" spans="1:12" ht="18.75">
      <c r="A68" s="21" t="s">
        <v>16</v>
      </c>
      <c r="B68" s="24">
        <f>SQRT(B67)</f>
        <v>0.2472953143170154</v>
      </c>
      <c r="C68" s="24">
        <f>SQRT(C67)</f>
        <v>0.29948174145941231</v>
      </c>
      <c r="D68" s="24">
        <f>SQRT(D67)</f>
        <v>0.33980220649504922</v>
      </c>
      <c r="E68" s="24">
        <f>SQRT(E67)</f>
        <v>0.26853175067343665</v>
      </c>
      <c r="F68" s="24">
        <f>SQRT(F67)</f>
        <v>0.23648877116817144</v>
      </c>
      <c r="G68" s="24">
        <f>SQRT(G67)</f>
        <v>0.41224266154024941</v>
      </c>
      <c r="H68" s="24">
        <f>SQRT(H67)</f>
        <v>0.21448549220599075</v>
      </c>
      <c r="I68" s="24">
        <f>SQRT(I67)</f>
        <v>0.4849271067195397</v>
      </c>
      <c r="J68" s="24">
        <f>SQRT(J67)</f>
        <v>0.34281179083921143</v>
      </c>
      <c r="K68" s="25">
        <f>SQRT(K67)</f>
        <v>0.60552896536106982</v>
      </c>
      <c r="L68" s="23">
        <f>AVERAGE(B68:K68)</f>
        <v>0.34515958007791464</v>
      </c>
    </row>
    <row r="69" spans="1:12">
      <c r="A69" s="16"/>
      <c r="L69" s="23" t="s">
        <v>17</v>
      </c>
    </row>
  </sheetData>
  <mergeCells count="1">
    <mergeCell ref="B1:K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029F-D2F3-4A9D-9FCF-41DB74DC9C49}">
  <dimension ref="A1:P29"/>
  <sheetViews>
    <sheetView workbookViewId="0">
      <selection activeCell="F9" sqref="F9"/>
    </sheetView>
  </sheetViews>
  <sheetFormatPr defaultColWidth="11.42578125" defaultRowHeight="15"/>
  <sheetData>
    <row r="1" spans="1:11">
      <c r="A1" s="15"/>
      <c r="B1" s="15" t="s">
        <v>81</v>
      </c>
      <c r="C1" s="15" t="s">
        <v>82</v>
      </c>
      <c r="D1" s="15" t="s">
        <v>83</v>
      </c>
      <c r="E1" s="15" t="s">
        <v>84</v>
      </c>
      <c r="F1" s="15" t="s">
        <v>85</v>
      </c>
      <c r="G1" s="15" t="s">
        <v>86</v>
      </c>
      <c r="H1" s="15" t="s">
        <v>87</v>
      </c>
      <c r="I1" s="15" t="s">
        <v>88</v>
      </c>
      <c r="J1" s="15" t="s">
        <v>89</v>
      </c>
      <c r="K1" s="15" t="s">
        <v>90</v>
      </c>
    </row>
    <row r="2" spans="1:11" ht="15.75" thickBot="1">
      <c r="A2" t="s">
        <v>81</v>
      </c>
      <c r="B2">
        <f>VARP('Expected Return'!$B$3:$B$63)</f>
        <v>5.0127026625533958E-3</v>
      </c>
      <c r="C2">
        <v>3.4166011959045699E-3</v>
      </c>
      <c r="D2">
        <v>2.8859182525303199E-3</v>
      </c>
      <c r="E2">
        <v>2.3801412485842154E-3</v>
      </c>
      <c r="F2">
        <v>1.9422611636153151E-3</v>
      </c>
      <c r="G2">
        <v>2.0103694652037333E-3</v>
      </c>
      <c r="H2">
        <v>2.3098488196704372E-3</v>
      </c>
      <c r="I2">
        <v>5.2545309721092979E-3</v>
      </c>
      <c r="J2">
        <v>2.9820700984561155E-3</v>
      </c>
      <c r="K2" s="14">
        <v>7.104421931280666E-3</v>
      </c>
    </row>
    <row r="3" spans="1:11" ht="15.75" thickBot="1">
      <c r="A3" t="s">
        <v>82</v>
      </c>
      <c r="B3">
        <v>3.4166011959045725E-3</v>
      </c>
      <c r="C3">
        <f>VARP('Expected Return'!$C$3:$C$63)</f>
        <v>7.474109455630192E-3</v>
      </c>
      <c r="D3">
        <v>4.4280013276161469E-3</v>
      </c>
      <c r="E3">
        <v>4.2508733699102878E-3</v>
      </c>
      <c r="F3">
        <v>1.5989340269027649E-3</v>
      </c>
      <c r="G3">
        <v>4.8671486351026952E-3</v>
      </c>
      <c r="H3">
        <v>3.5317041344260238E-3</v>
      </c>
      <c r="I3">
        <v>8.408139366259124E-3</v>
      </c>
      <c r="J3">
        <v>3.8913777727078362E-3</v>
      </c>
      <c r="K3" s="14">
        <v>8.8870295594142418E-3</v>
      </c>
    </row>
    <row r="4" spans="1:11" ht="15.75" thickBot="1">
      <c r="A4" t="s">
        <v>83</v>
      </c>
      <c r="B4">
        <v>2.8859182525303182E-3</v>
      </c>
      <c r="C4">
        <v>4.4280013276161469E-3</v>
      </c>
      <c r="D4">
        <f>VARP('Expected Return'!$D$3:$D$63)</f>
        <v>9.6221282949086728E-3</v>
      </c>
      <c r="E4">
        <v>4.3102941631888948E-3</v>
      </c>
      <c r="F4">
        <v>1.9556877076688183E-3</v>
      </c>
      <c r="G4">
        <v>4.3341974352372348E-3</v>
      </c>
      <c r="H4">
        <v>3.5713869375076789E-3</v>
      </c>
      <c r="I4">
        <v>7.6542008523920952E-3</v>
      </c>
      <c r="J4">
        <v>4.2759542387746487E-3</v>
      </c>
      <c r="K4" s="14">
        <v>6.9652438059735686E-3</v>
      </c>
    </row>
    <row r="5" spans="1:11" ht="15.75" thickBot="1">
      <c r="A5" t="s">
        <v>84</v>
      </c>
      <c r="B5">
        <v>2.3801412485842154E-3</v>
      </c>
      <c r="C5">
        <v>4.2508733699102878E-3</v>
      </c>
      <c r="D5">
        <v>4.3102941631888948E-3</v>
      </c>
      <c r="E5">
        <f>VARP('Expected Return'!$E$3:$E$63)</f>
        <v>6.0091084266450647E-3</v>
      </c>
      <c r="F5">
        <v>8.465263270825479E-4</v>
      </c>
      <c r="G5">
        <v>3.2294897832164712E-3</v>
      </c>
      <c r="H5">
        <v>2.7771744848461583E-3</v>
      </c>
      <c r="I5">
        <v>5.8758385532837656E-3</v>
      </c>
      <c r="J5">
        <v>3.1718374849380943E-3</v>
      </c>
      <c r="K5" s="14">
        <v>6.1772716854453062E-3</v>
      </c>
    </row>
    <row r="6" spans="1:11" ht="15.75" thickBot="1">
      <c r="A6" t="s">
        <v>85</v>
      </c>
      <c r="B6">
        <v>1.9422611636153151E-3</v>
      </c>
      <c r="C6">
        <v>1.5989340269027649E-3</v>
      </c>
      <c r="D6">
        <v>1.9556877076688183E-3</v>
      </c>
      <c r="E6">
        <v>8.465263270825479E-4</v>
      </c>
      <c r="F6">
        <f>VARP('Expected Return'!$F$3:$F$63)</f>
        <v>4.6605782407193137E-3</v>
      </c>
      <c r="G6">
        <v>1.8812430321481141E-3</v>
      </c>
      <c r="H6">
        <v>1.2293046520035114E-3</v>
      </c>
      <c r="I6">
        <v>2.3521436273745916E-3</v>
      </c>
      <c r="J6">
        <v>2.4031466390685451E-3</v>
      </c>
      <c r="K6" s="14">
        <v>1.8411616693936722E-3</v>
      </c>
    </row>
    <row r="7" spans="1:11" ht="15.75" thickBot="1">
      <c r="A7" t="s">
        <v>86</v>
      </c>
      <c r="B7">
        <v>2.0103694652037333E-3</v>
      </c>
      <c r="C7">
        <v>4.8671486351026952E-3</v>
      </c>
      <c r="D7">
        <v>4.3341974352372348E-3</v>
      </c>
      <c r="E7">
        <v>3.2294897832164712E-3</v>
      </c>
      <c r="F7">
        <v>1.8812430321481141E-3</v>
      </c>
      <c r="G7">
        <f>VARP('Expected Return'!$G$3:$G$63)</f>
        <v>1.4162000999482383E-2</v>
      </c>
      <c r="H7">
        <v>3.924308791640848E-3</v>
      </c>
      <c r="I7">
        <v>8.0628731729048362E-3</v>
      </c>
      <c r="J7">
        <v>3.3457117809476277E-3</v>
      </c>
      <c r="K7" s="14">
        <v>4.3524845757851793E-3</v>
      </c>
    </row>
    <row r="8" spans="1:11" ht="15.75" thickBot="1">
      <c r="A8" t="s">
        <v>87</v>
      </c>
      <c r="B8">
        <v>2.3098488196704372E-3</v>
      </c>
      <c r="C8">
        <v>3.5317041344260238E-3</v>
      </c>
      <c r="D8">
        <v>3.5713869375076789E-3</v>
      </c>
      <c r="E8">
        <v>2.7771744848461583E-3</v>
      </c>
      <c r="F8">
        <v>1.2293046520035114E-3</v>
      </c>
      <c r="G8">
        <v>3.924308791640848E-3</v>
      </c>
      <c r="H8">
        <f>VARP('Expected Return'!$H$3:$H$63)</f>
        <v>3.8336688639038436E-3</v>
      </c>
      <c r="I8">
        <v>6.2137430321274395E-3</v>
      </c>
      <c r="J8">
        <v>3.8736061960381978E-3</v>
      </c>
      <c r="K8" s="14">
        <v>4.4338242151246467E-3</v>
      </c>
    </row>
    <row r="9" spans="1:11" ht="15.75" thickBot="1">
      <c r="A9" t="s">
        <v>88</v>
      </c>
      <c r="B9">
        <v>5.2545309721092979E-3</v>
      </c>
      <c r="C9">
        <v>8.408139366259124E-3</v>
      </c>
      <c r="D9">
        <v>7.6542008523920952E-3</v>
      </c>
      <c r="E9">
        <v>5.8758385532837656E-3</v>
      </c>
      <c r="F9">
        <v>2.3521436273745899E-3</v>
      </c>
      <c r="G9">
        <v>8.0628731729048362E-3</v>
      </c>
      <c r="H9">
        <v>6.2137430321274395E-3</v>
      </c>
      <c r="I9">
        <f>VARP('Expected Return'!$I$3:$I$63)</f>
        <v>1.9596191569281982E-2</v>
      </c>
      <c r="J9">
        <v>7.5630918931727971E-3</v>
      </c>
      <c r="K9" s="14">
        <v>9.5879737601338843E-3</v>
      </c>
    </row>
    <row r="10" spans="1:11">
      <c r="A10" t="s">
        <v>89</v>
      </c>
      <c r="B10">
        <v>2.9820700984561155E-3</v>
      </c>
      <c r="C10">
        <v>3.8913777727078362E-3</v>
      </c>
      <c r="D10">
        <v>4.2759542387746487E-3</v>
      </c>
      <c r="E10">
        <v>3.1718374849380943E-3</v>
      </c>
      <c r="F10">
        <v>2.4031466390685451E-3</v>
      </c>
      <c r="G10">
        <v>3.3457117809476277E-3</v>
      </c>
      <c r="H10">
        <v>3.8736061960381978E-3</v>
      </c>
      <c r="I10">
        <v>7.5630918931727971E-3</v>
      </c>
      <c r="J10">
        <f>VARP('Expected Return'!$J$3:$J$63)</f>
        <v>9.7933269948656029E-3</v>
      </c>
      <c r="K10">
        <v>5.08155389896467E-3</v>
      </c>
    </row>
    <row r="11" spans="1:11" ht="15.75" thickBot="1">
      <c r="A11" s="14" t="s">
        <v>90</v>
      </c>
      <c r="B11" s="14">
        <v>7.104421931280666E-3</v>
      </c>
      <c r="C11" s="14">
        <v>8.8870295594142418E-3</v>
      </c>
      <c r="D11" s="14">
        <v>6.9652438059735686E-3</v>
      </c>
      <c r="E11" s="14">
        <v>6.1772716854453062E-3</v>
      </c>
      <c r="F11" s="14">
        <v>1.8411616693936722E-3</v>
      </c>
      <c r="G11" s="14">
        <v>4.3524845757851793E-3</v>
      </c>
      <c r="H11" s="14">
        <v>4.4338242151246467E-3</v>
      </c>
      <c r="I11" s="14">
        <v>9.5879737601338843E-3</v>
      </c>
      <c r="J11" s="14">
        <v>5.0815538989646717E-3</v>
      </c>
      <c r="K11" s="14">
        <f>VARP('Expected Return'!$K$3:$K$63)</f>
        <v>3.0555443990937309E-2</v>
      </c>
    </row>
    <row r="19" spans="8:16" ht="15.75" thickBot="1">
      <c r="P19" s="14"/>
    </row>
    <row r="20" spans="8:16" ht="15.75" thickBot="1">
      <c r="H20">
        <v>3.4166011959045699E-3</v>
      </c>
      <c r="I20">
        <v>2.8859182525303199E-3</v>
      </c>
      <c r="J20">
        <v>2.3801412485842154E-3</v>
      </c>
      <c r="K20">
        <v>1.9422611636153151E-3</v>
      </c>
      <c r="L20">
        <v>2.0103694652037333E-3</v>
      </c>
      <c r="M20">
        <v>2.3098488196704372E-3</v>
      </c>
      <c r="N20">
        <v>5.2545309721092979E-3</v>
      </c>
      <c r="O20">
        <v>2.9820700984561155E-3</v>
      </c>
      <c r="P20" s="14">
        <v>7.104421931280666E-3</v>
      </c>
    </row>
    <row r="21" spans="8:16" ht="15.75" thickBot="1">
      <c r="I21">
        <v>4.4280013276161469E-3</v>
      </c>
      <c r="J21">
        <v>4.2508733699102878E-3</v>
      </c>
      <c r="K21">
        <v>1.5989340269027649E-3</v>
      </c>
      <c r="L21">
        <v>4.8671486351026952E-3</v>
      </c>
      <c r="M21">
        <v>3.5317041344260238E-3</v>
      </c>
      <c r="N21">
        <v>8.408139366259124E-3</v>
      </c>
      <c r="O21">
        <v>3.8913777727078362E-3</v>
      </c>
      <c r="P21" s="14">
        <v>8.8870295594142418E-3</v>
      </c>
    </row>
    <row r="22" spans="8:16" ht="15.75" thickBot="1">
      <c r="J22">
        <v>4.3102941631888948E-3</v>
      </c>
      <c r="K22">
        <v>1.9556877076688183E-3</v>
      </c>
      <c r="L22">
        <v>4.3341974352372348E-3</v>
      </c>
      <c r="M22">
        <v>3.5713869375076789E-3</v>
      </c>
      <c r="N22">
        <v>7.6542008523920952E-3</v>
      </c>
      <c r="O22">
        <v>4.2759542387746487E-3</v>
      </c>
      <c r="P22" s="14">
        <v>6.9652438059735686E-3</v>
      </c>
    </row>
    <row r="23" spans="8:16" ht="15.75" thickBot="1">
      <c r="K23">
        <v>8.465263270825479E-4</v>
      </c>
      <c r="L23">
        <v>3.2294897832164712E-3</v>
      </c>
      <c r="M23">
        <v>2.7771744848461583E-3</v>
      </c>
      <c r="N23">
        <v>5.8758385532837656E-3</v>
      </c>
      <c r="O23">
        <v>3.1718374849380943E-3</v>
      </c>
      <c r="P23" s="14">
        <v>6.1772716854453062E-3</v>
      </c>
    </row>
    <row r="24" spans="8:16" ht="15.75" thickBot="1">
      <c r="L24">
        <v>1.8812430321481141E-3</v>
      </c>
      <c r="M24">
        <v>1.2293046520035114E-3</v>
      </c>
      <c r="N24">
        <v>2.3521436273745916E-3</v>
      </c>
      <c r="O24">
        <v>2.4031466390685451E-3</v>
      </c>
      <c r="P24" s="14">
        <v>1.8411616693936722E-3</v>
      </c>
    </row>
    <row r="25" spans="8:16" ht="15.75" thickBot="1">
      <c r="M25">
        <v>3.924308791640848E-3</v>
      </c>
      <c r="N25">
        <v>8.0628731729048362E-3</v>
      </c>
      <c r="O25">
        <v>3.3457117809476277E-3</v>
      </c>
      <c r="P25" s="14">
        <v>4.3524845757851793E-3</v>
      </c>
    </row>
    <row r="26" spans="8:16" ht="15.75" thickBot="1">
      <c r="N26">
        <v>6.2137430321274395E-3</v>
      </c>
      <c r="O26">
        <v>3.8736061960381978E-3</v>
      </c>
      <c r="P26" s="14">
        <v>4.4338242151246467E-3</v>
      </c>
    </row>
    <row r="27" spans="8:16" ht="15.75" thickBot="1">
      <c r="O27">
        <v>7.5630918931727971E-3</v>
      </c>
      <c r="P27" s="14">
        <v>9.5879737601338843E-3</v>
      </c>
    </row>
    <row r="28" spans="8:16" ht="15.75" thickBot="1">
      <c r="P28" s="14">
        <v>5.08155389896467E-3</v>
      </c>
    </row>
    <row r="29" spans="8:16" ht="15.75" thickBot="1">
      <c r="P29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D82C-4F95-4F81-8B5D-B2DC5AEF8CBC}">
  <dimension ref="B3:AI43"/>
  <sheetViews>
    <sheetView topLeftCell="E19" zoomScale="78" workbookViewId="0">
      <selection activeCell="U22" sqref="U22"/>
    </sheetView>
  </sheetViews>
  <sheetFormatPr defaultColWidth="8.7109375" defaultRowHeight="15"/>
  <cols>
    <col min="2" max="2" width="20.28515625" customWidth="1"/>
    <col min="3" max="3" width="9.7109375" bestFit="1" customWidth="1"/>
    <col min="4" max="4" width="13.85546875" customWidth="1"/>
    <col min="5" max="5" width="12" bestFit="1" customWidth="1"/>
    <col min="6" max="7" width="9.7109375" bestFit="1" customWidth="1"/>
    <col min="8" max="8" width="10" bestFit="1" customWidth="1"/>
    <col min="9" max="12" width="9.7109375" bestFit="1" customWidth="1"/>
    <col min="13" max="13" width="9.42578125" bestFit="1" customWidth="1"/>
    <col min="14" max="14" width="14.5703125" bestFit="1" customWidth="1"/>
    <col min="15" max="16" width="8.85546875" bestFit="1" customWidth="1"/>
    <col min="17" max="17" width="21.5703125" bestFit="1" customWidth="1"/>
    <col min="18" max="18" width="8.85546875" bestFit="1" customWidth="1"/>
    <col min="19" max="19" width="20.85546875" bestFit="1" customWidth="1"/>
    <col min="20" max="25" width="8.42578125" style="13" bestFit="1" customWidth="1"/>
    <col min="26" max="26" width="9.140625" style="13" bestFit="1" customWidth="1"/>
    <col min="27" max="28" width="8.42578125" style="13" bestFit="1" customWidth="1"/>
    <col min="29" max="30" width="8.7109375" style="13"/>
    <col min="31" max="31" width="4.85546875" style="13" bestFit="1" customWidth="1"/>
    <col min="32" max="32" width="6.42578125" style="13" bestFit="1" customWidth="1"/>
    <col min="33" max="33" width="20.42578125" customWidth="1"/>
    <col min="34" max="34" width="5.5703125" bestFit="1" customWidth="1"/>
    <col min="35" max="35" width="6" style="13" bestFit="1" customWidth="1"/>
  </cols>
  <sheetData>
    <row r="3" spans="2:35" ht="18.75">
      <c r="B3" s="18" t="s">
        <v>91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</row>
    <row r="4" spans="2:35">
      <c r="D4" s="16" t="s">
        <v>1</v>
      </c>
      <c r="E4" s="29">
        <f>VARP('Expected Return'!$B$3:$B$63)</f>
        <v>5.0127026625533958E-3</v>
      </c>
      <c r="F4" s="29">
        <v>3.4166011959045699E-3</v>
      </c>
      <c r="G4" s="29">
        <v>2.8859182525303199E-3</v>
      </c>
      <c r="H4" s="29">
        <v>2.3801412485842154E-3</v>
      </c>
      <c r="I4" s="29">
        <v>1.9422611636153151E-3</v>
      </c>
      <c r="J4" s="29">
        <v>2.0103694652037333E-3</v>
      </c>
      <c r="K4" s="29">
        <v>2.3098488196704372E-3</v>
      </c>
      <c r="L4" s="29">
        <v>5.2545309721092979E-3</v>
      </c>
      <c r="M4" s="29">
        <v>2.9820700984561155E-3</v>
      </c>
      <c r="N4" s="29">
        <v>7.104421931280666E-3</v>
      </c>
    </row>
    <row r="5" spans="2:35">
      <c r="D5" s="16" t="s">
        <v>2</v>
      </c>
      <c r="E5" s="29">
        <v>3.4166011959045725E-3</v>
      </c>
      <c r="F5" s="29">
        <f>VARP('Expected Return'!$C$3:$C$63)</f>
        <v>7.474109455630192E-3</v>
      </c>
      <c r="G5" s="29">
        <v>4.4280013276161469E-3</v>
      </c>
      <c r="H5" s="29">
        <v>4.2508733699102878E-3</v>
      </c>
      <c r="I5" s="29">
        <v>1.5989340269027649E-3</v>
      </c>
      <c r="J5" s="29">
        <v>4.8671486351026952E-3</v>
      </c>
      <c r="K5" s="29">
        <v>3.5317041344260238E-3</v>
      </c>
      <c r="L5" s="29">
        <v>8.408139366259124E-3</v>
      </c>
      <c r="M5" s="29">
        <v>3.8913777727078362E-3</v>
      </c>
      <c r="N5" s="29">
        <v>8.8870295594142418E-3</v>
      </c>
    </row>
    <row r="6" spans="2:35">
      <c r="D6" s="16" t="s">
        <v>3</v>
      </c>
      <c r="E6" s="29">
        <v>2.8859182525303182E-3</v>
      </c>
      <c r="F6" s="29">
        <v>4.4280013276161469E-3</v>
      </c>
      <c r="G6" s="29">
        <f>VARP('Expected Return'!$D$3:$D$63)</f>
        <v>9.6221282949086728E-3</v>
      </c>
      <c r="H6" s="29">
        <v>4.3102941631888948E-3</v>
      </c>
      <c r="I6" s="29">
        <v>1.9556877076688183E-3</v>
      </c>
      <c r="J6" s="29">
        <v>4.3341974352372348E-3</v>
      </c>
      <c r="K6" s="29">
        <v>3.5713869375076789E-3</v>
      </c>
      <c r="L6" s="29">
        <v>7.6542008523920952E-3</v>
      </c>
      <c r="M6" s="29">
        <v>4.2759542387746487E-3</v>
      </c>
      <c r="N6" s="29">
        <v>6.9652438059735686E-3</v>
      </c>
    </row>
    <row r="7" spans="2:35">
      <c r="D7" s="16" t="s">
        <v>4</v>
      </c>
      <c r="E7" s="29">
        <v>2.3801412485842154E-3</v>
      </c>
      <c r="F7" s="29">
        <v>4.2508733699102878E-3</v>
      </c>
      <c r="G7" s="29">
        <v>4.3102941631888948E-3</v>
      </c>
      <c r="H7" s="29">
        <f>VARP('Expected Return'!$E$3:$E$63)</f>
        <v>6.0091084266450647E-3</v>
      </c>
      <c r="I7" s="29">
        <v>8.465263270825479E-4</v>
      </c>
      <c r="J7" s="29">
        <v>3.2294897832164712E-3</v>
      </c>
      <c r="K7" s="29">
        <v>2.7771744848461583E-3</v>
      </c>
      <c r="L7" s="29">
        <v>5.8758385532837656E-3</v>
      </c>
      <c r="M7" s="29">
        <v>3.1718374849380943E-3</v>
      </c>
      <c r="N7" s="29">
        <v>6.1772716854453062E-3</v>
      </c>
    </row>
    <row r="8" spans="2:35">
      <c r="D8" s="16" t="s">
        <v>5</v>
      </c>
      <c r="E8" s="29">
        <v>1.9422611636153151E-3</v>
      </c>
      <c r="F8" s="29">
        <v>1.5989340269027649E-3</v>
      </c>
      <c r="G8" s="29">
        <v>1.9556877076688183E-3</v>
      </c>
      <c r="H8" s="29">
        <v>8.465263270825479E-4</v>
      </c>
      <c r="I8" s="29">
        <f>VARP('Expected Return'!$F$3:$F$63)</f>
        <v>4.6605782407193137E-3</v>
      </c>
      <c r="J8" s="29">
        <v>1.8812430321481141E-3</v>
      </c>
      <c r="K8" s="29">
        <v>1.2293046520035114E-3</v>
      </c>
      <c r="L8" s="29">
        <v>2.3521436273745916E-3</v>
      </c>
      <c r="M8" s="29">
        <v>2.4031466390685499E-3</v>
      </c>
      <c r="N8" s="29">
        <v>1.8411616693936722E-3</v>
      </c>
    </row>
    <row r="9" spans="2:35">
      <c r="D9" s="16" t="s">
        <v>6</v>
      </c>
      <c r="E9" s="29">
        <v>2.0103694652037333E-3</v>
      </c>
      <c r="F9" s="29">
        <v>4.8671486351026952E-3</v>
      </c>
      <c r="G9" s="29">
        <v>4.3341974352372348E-3</v>
      </c>
      <c r="H9" s="29">
        <v>3.2294897832164712E-3</v>
      </c>
      <c r="I9" s="29">
        <v>1.8812430321481141E-3</v>
      </c>
      <c r="J9" s="29">
        <f>VARP('Expected Return'!$G$3:$G$63)</f>
        <v>1.4162000999482383E-2</v>
      </c>
      <c r="K9" s="29">
        <v>3.924308791640848E-3</v>
      </c>
      <c r="L9" s="29">
        <v>8.0628731729048362E-3</v>
      </c>
      <c r="M9" s="29">
        <v>3.3457117809476277E-3</v>
      </c>
      <c r="N9" s="29">
        <v>4.3524845757851793E-3</v>
      </c>
    </row>
    <row r="10" spans="2:35">
      <c r="D10" s="16" t="s">
        <v>7</v>
      </c>
      <c r="E10" s="29">
        <v>2.3098488196704372E-3</v>
      </c>
      <c r="F10" s="29">
        <v>3.5317041344260238E-3</v>
      </c>
      <c r="G10" s="29">
        <v>3.5713869375076802E-3</v>
      </c>
      <c r="H10" s="29">
        <v>2.7771744848461583E-3</v>
      </c>
      <c r="I10" s="29">
        <v>1.2293046520035114E-3</v>
      </c>
      <c r="J10" s="29">
        <v>3.924308791640848E-3</v>
      </c>
      <c r="K10" s="29">
        <f>VARP('Expected Return'!$H$3:$H$63)</f>
        <v>3.8336688639038436E-3</v>
      </c>
      <c r="L10" s="29">
        <v>6.2137430321274395E-3</v>
      </c>
      <c r="M10" s="29">
        <v>3.8736061960381978E-3</v>
      </c>
      <c r="N10" s="29">
        <v>4.4338242151246467E-3</v>
      </c>
    </row>
    <row r="11" spans="2:35">
      <c r="D11" s="16" t="s">
        <v>8</v>
      </c>
      <c r="E11" s="29">
        <v>5.2545309721092979E-3</v>
      </c>
      <c r="F11" s="29">
        <v>8.408139366259124E-3</v>
      </c>
      <c r="G11" s="29">
        <v>7.6542008523920952E-3</v>
      </c>
      <c r="H11" s="29">
        <v>5.8758385532837656E-3</v>
      </c>
      <c r="I11" s="29">
        <v>2.3521436273745916E-3</v>
      </c>
      <c r="J11" s="29">
        <v>8.0628731729048362E-3</v>
      </c>
      <c r="K11" s="29">
        <v>6.2137430321274395E-3</v>
      </c>
      <c r="L11" s="29">
        <f>VARP('Expected Return'!$I$3:$I$63)</f>
        <v>1.9596191569281982E-2</v>
      </c>
      <c r="M11" s="29">
        <v>7.5630918931727971E-3</v>
      </c>
      <c r="N11" s="29">
        <v>9.5879737601338843E-3</v>
      </c>
    </row>
    <row r="12" spans="2:35">
      <c r="D12" s="16" t="s">
        <v>9</v>
      </c>
      <c r="E12" s="29">
        <v>2.9820700984561155E-3</v>
      </c>
      <c r="F12" s="29">
        <v>3.8913777727078362E-3</v>
      </c>
      <c r="G12" s="29">
        <v>4.2759542387746487E-3</v>
      </c>
      <c r="H12" s="29">
        <v>3.1718374849380943E-3</v>
      </c>
      <c r="I12" s="29">
        <v>2.4031466390685451E-3</v>
      </c>
      <c r="J12" s="29">
        <v>3.3457117809476277E-3</v>
      </c>
      <c r="K12" s="29">
        <v>3.8736061960381978E-3</v>
      </c>
      <c r="L12" s="29">
        <v>7.5630918931727971E-3</v>
      </c>
      <c r="M12" s="29">
        <f>VARP('Expected Return'!$J$3:$J$63)</f>
        <v>9.7933269948656029E-3</v>
      </c>
      <c r="N12" s="29">
        <v>5.08155389896467E-3</v>
      </c>
    </row>
    <row r="13" spans="2:35" ht="18.75">
      <c r="D13" s="16" t="s">
        <v>10</v>
      </c>
      <c r="E13" s="29">
        <v>7.104421931280666E-3</v>
      </c>
      <c r="F13" s="29">
        <v>8.8870295594142418E-3</v>
      </c>
      <c r="G13" s="29">
        <v>6.9652438059735686E-3</v>
      </c>
      <c r="H13" s="29">
        <v>6.1772716854453062E-3</v>
      </c>
      <c r="I13" s="29">
        <v>1.8411616693936722E-3</v>
      </c>
      <c r="J13" s="29">
        <v>4.3524845757851793E-3</v>
      </c>
      <c r="K13" s="29">
        <v>4.4338242151246467E-3</v>
      </c>
      <c r="L13" s="29">
        <v>9.5879737601338843E-3</v>
      </c>
      <c r="M13" s="29">
        <v>5.0815538989646717E-3</v>
      </c>
      <c r="N13" s="29">
        <f>VARP('Expected Return'!$K$3:$K$63)</f>
        <v>3.0555443990937309E-2</v>
      </c>
      <c r="T13" s="112" t="s">
        <v>92</v>
      </c>
      <c r="U13" s="112"/>
      <c r="V13" s="112"/>
      <c r="W13" s="112"/>
      <c r="X13" s="112"/>
      <c r="Y13" s="112"/>
      <c r="Z13" s="112"/>
      <c r="AA13" s="112"/>
      <c r="AB13" s="112"/>
      <c r="AC13" s="112"/>
    </row>
    <row r="14" spans="2:35" ht="15.75">
      <c r="Q14" s="19" t="s">
        <v>13</v>
      </c>
      <c r="T14" s="34" t="s">
        <v>1</v>
      </c>
      <c r="U14" s="35" t="s">
        <v>2</v>
      </c>
      <c r="V14" s="35" t="s">
        <v>3</v>
      </c>
      <c r="W14" s="35" t="s">
        <v>4</v>
      </c>
      <c r="X14" s="35" t="s">
        <v>5</v>
      </c>
      <c r="Y14" s="35" t="s">
        <v>6</v>
      </c>
      <c r="Z14" s="35" t="s">
        <v>7</v>
      </c>
      <c r="AA14" s="35" t="s">
        <v>8</v>
      </c>
      <c r="AB14" s="35" t="s">
        <v>9</v>
      </c>
      <c r="AC14" s="34" t="s">
        <v>10</v>
      </c>
      <c r="AI14" s="32"/>
    </row>
    <row r="15" spans="2:35" ht="18.75">
      <c r="B15" s="18" t="s">
        <v>93</v>
      </c>
      <c r="E15" s="2" t="s">
        <v>1</v>
      </c>
      <c r="F15" s="2" t="s">
        <v>2</v>
      </c>
      <c r="G15" s="2" t="s">
        <v>3</v>
      </c>
      <c r="H15" s="2" t="s">
        <v>4</v>
      </c>
      <c r="I15" s="2" t="s">
        <v>5</v>
      </c>
      <c r="J15" s="2" t="s">
        <v>6</v>
      </c>
      <c r="K15" s="2" t="s">
        <v>7</v>
      </c>
      <c r="L15" s="2" t="s">
        <v>8</v>
      </c>
      <c r="M15" s="2" t="s">
        <v>9</v>
      </c>
      <c r="N15" s="2" t="s">
        <v>10</v>
      </c>
      <c r="T15" s="38" t="s">
        <v>94</v>
      </c>
      <c r="U15" s="38" t="s">
        <v>95</v>
      </c>
      <c r="V15" s="38" t="s">
        <v>96</v>
      </c>
      <c r="W15" s="38" t="s">
        <v>97</v>
      </c>
      <c r="X15" s="38" t="s">
        <v>98</v>
      </c>
      <c r="Y15" s="38" t="s">
        <v>99</v>
      </c>
      <c r="Z15" s="38" t="s">
        <v>100</v>
      </c>
      <c r="AA15" s="38" t="s">
        <v>101</v>
      </c>
      <c r="AB15" s="38" t="s">
        <v>102</v>
      </c>
      <c r="AC15" s="38" t="s">
        <v>103</v>
      </c>
      <c r="AD15" s="36" t="s">
        <v>104</v>
      </c>
      <c r="AE15" s="36" t="s">
        <v>105</v>
      </c>
      <c r="AF15" s="36" t="s">
        <v>106</v>
      </c>
      <c r="AG15" s="33" t="s">
        <v>107</v>
      </c>
      <c r="AH15" s="31" t="s">
        <v>108</v>
      </c>
      <c r="AI15" s="32" t="s">
        <v>109</v>
      </c>
    </row>
    <row r="16" spans="2:35" ht="18.75">
      <c r="D16" s="16" t="s">
        <v>1</v>
      </c>
      <c r="E16" s="17" cm="1">
        <f t="array" ref="E16:N25">E4:N13*12</f>
        <v>6.0152431950640753E-2</v>
      </c>
      <c r="F16" s="17">
        <v>4.0999214350854837E-2</v>
      </c>
      <c r="G16" s="17">
        <v>3.4631019030363835E-2</v>
      </c>
      <c r="H16" s="17">
        <v>2.8561694983010585E-2</v>
      </c>
      <c r="I16" s="17">
        <v>2.3307133963383783E-2</v>
      </c>
      <c r="J16" s="17">
        <v>2.4124433582444801E-2</v>
      </c>
      <c r="K16" s="17">
        <v>2.7718185836045246E-2</v>
      </c>
      <c r="L16" s="17">
        <v>6.3054371665311582E-2</v>
      </c>
      <c r="M16" s="17">
        <v>3.578484118147339E-2</v>
      </c>
      <c r="N16" s="17">
        <v>8.5253063175367988E-2</v>
      </c>
      <c r="Q16" s="30">
        <v>0.15480380138455399</v>
      </c>
      <c r="R16" s="30"/>
      <c r="T16" s="39">
        <v>4.3668874344882029E-2</v>
      </c>
      <c r="U16" s="39">
        <v>0</v>
      </c>
      <c r="V16" s="39">
        <v>0.44525003115762285</v>
      </c>
      <c r="W16" s="39">
        <v>0.15763666357415096</v>
      </c>
      <c r="X16" s="39">
        <v>0.13973265692397763</v>
      </c>
      <c r="Y16" s="39">
        <v>0</v>
      </c>
      <c r="Z16" s="39">
        <v>0</v>
      </c>
      <c r="AA16" s="39">
        <v>2.5123424047885024E-2</v>
      </c>
      <c r="AB16" s="39">
        <v>0.18858834995148191</v>
      </c>
      <c r="AC16" s="39">
        <v>0</v>
      </c>
      <c r="AD16" s="13">
        <f>MMULT(Weights,Means)</f>
        <v>0.34628278441832894</v>
      </c>
      <c r="AE16" s="13">
        <f t="array" ref="AE16">MMULT(Weights,MMULT(varcov,TRANSPOSE(Weights)))</f>
        <v>5.9669621438027051E-2</v>
      </c>
      <c r="AF16" s="13">
        <f>SQRT(AE16)</f>
        <v>0.24427366095841577</v>
      </c>
      <c r="AG16">
        <f>SUM(Weights)</f>
        <v>1.0000000000000004</v>
      </c>
      <c r="AH16">
        <v>750</v>
      </c>
      <c r="AI16" s="13">
        <f>AD16-0.005*AH16*AE16</f>
        <v>0.12252170402572748</v>
      </c>
    </row>
    <row r="17" spans="4:35" ht="18.75">
      <c r="D17" s="16" t="s">
        <v>2</v>
      </c>
      <c r="E17" s="17">
        <v>4.0999214350854872E-2</v>
      </c>
      <c r="F17" s="17">
        <v>8.9689313467562301E-2</v>
      </c>
      <c r="G17" s="17">
        <v>5.3136015931393762E-2</v>
      </c>
      <c r="H17" s="17">
        <v>5.101048043892345E-2</v>
      </c>
      <c r="I17" s="17">
        <v>1.9187208322833181E-2</v>
      </c>
      <c r="J17" s="17">
        <v>5.8405783621232346E-2</v>
      </c>
      <c r="K17" s="17">
        <v>4.2380449613112284E-2</v>
      </c>
      <c r="L17" s="17">
        <v>0.10089767239510949</v>
      </c>
      <c r="M17" s="17">
        <v>4.6696533272494033E-2</v>
      </c>
      <c r="N17" s="17">
        <v>0.1066443547129709</v>
      </c>
      <c r="Q17" s="30">
        <v>6.0815934311034082E-2</v>
      </c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 spans="4:35" ht="18.75">
      <c r="D18" s="16" t="s">
        <v>3</v>
      </c>
      <c r="E18" s="17">
        <v>3.4631019030363822E-2</v>
      </c>
      <c r="F18" s="17">
        <v>5.3136015931393762E-2</v>
      </c>
      <c r="G18" s="17">
        <v>0.11546553953890407</v>
      </c>
      <c r="H18" s="17">
        <v>5.1723529958266734E-2</v>
      </c>
      <c r="I18" s="17">
        <v>2.3468252492025818E-2</v>
      </c>
      <c r="J18" s="17">
        <v>5.2010369222846818E-2</v>
      </c>
      <c r="K18" s="17">
        <v>4.2856643250092148E-2</v>
      </c>
      <c r="L18" s="17">
        <v>9.1850410228705145E-2</v>
      </c>
      <c r="M18" s="17">
        <v>5.1311450865295788E-2</v>
      </c>
      <c r="N18" s="17">
        <v>8.3582925671682823E-2</v>
      </c>
      <c r="Q18" s="30">
        <v>0.47128890394530876</v>
      </c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 spans="4:35" ht="18.75">
      <c r="D19" s="16" t="s">
        <v>4</v>
      </c>
      <c r="E19" s="17">
        <v>2.8561694983010585E-2</v>
      </c>
      <c r="F19" s="17">
        <v>5.101048043892345E-2</v>
      </c>
      <c r="G19" s="17">
        <v>5.1723529958266734E-2</v>
      </c>
      <c r="H19" s="17">
        <v>7.2109301119740774E-2</v>
      </c>
      <c r="I19" s="17">
        <v>1.0158315924990575E-2</v>
      </c>
      <c r="J19" s="17">
        <v>3.8753877398597654E-2</v>
      </c>
      <c r="K19" s="17">
        <v>3.33260938181539E-2</v>
      </c>
      <c r="L19" s="17">
        <v>7.051006263940518E-2</v>
      </c>
      <c r="M19" s="17">
        <v>3.8062049819257135E-2</v>
      </c>
      <c r="N19" s="17">
        <v>7.4127260225343675E-2</v>
      </c>
      <c r="Q19" s="30">
        <v>0.24390878750538858</v>
      </c>
      <c r="S19" t="s">
        <v>110</v>
      </c>
      <c r="T19" s="39">
        <v>0.1</v>
      </c>
      <c r="U19" s="39">
        <v>0.1</v>
      </c>
      <c r="V19" s="39">
        <v>0.1</v>
      </c>
      <c r="W19" s="39">
        <v>0.1</v>
      </c>
      <c r="X19" s="39">
        <v>0.1</v>
      </c>
      <c r="Y19" s="39">
        <v>0.1</v>
      </c>
      <c r="Z19" s="39">
        <v>0.1</v>
      </c>
      <c r="AA19" s="39">
        <v>0.1</v>
      </c>
      <c r="AB19" s="39">
        <v>0.1</v>
      </c>
      <c r="AC19" s="39">
        <v>0.1</v>
      </c>
      <c r="AD19" s="13">
        <v>0.2481536934181201</v>
      </c>
      <c r="AE19" s="13">
        <v>5.9232066116529973E-2</v>
      </c>
      <c r="AF19" s="13">
        <v>0.24337638775470799</v>
      </c>
      <c r="AG19">
        <v>0.99999999999999989</v>
      </c>
    </row>
    <row r="20" spans="4:35" ht="18.75">
      <c r="D20" s="16" t="s">
        <v>5</v>
      </c>
      <c r="E20" s="17">
        <v>2.3307133963383783E-2</v>
      </c>
      <c r="F20" s="17">
        <v>1.9187208322833181E-2</v>
      </c>
      <c r="G20" s="17">
        <v>2.3468252492025818E-2</v>
      </c>
      <c r="H20" s="17">
        <v>1.0158315924990575E-2</v>
      </c>
      <c r="I20" s="17">
        <v>5.5926938888631761E-2</v>
      </c>
      <c r="J20" s="17">
        <v>2.2574916385777369E-2</v>
      </c>
      <c r="K20" s="17">
        <v>1.4751655824042136E-2</v>
      </c>
      <c r="L20" s="17">
        <v>2.82257235284951E-2</v>
      </c>
      <c r="M20" s="17">
        <v>2.8837759668822599E-2</v>
      </c>
      <c r="N20" s="17">
        <v>2.2093940032724066E-2</v>
      </c>
      <c r="Q20" s="30">
        <v>0.10143547176869</v>
      </c>
      <c r="S20" s="16" t="s">
        <v>19</v>
      </c>
      <c r="T20" s="41">
        <v>0.12417320412690995</v>
      </c>
      <c r="U20" s="41">
        <v>0</v>
      </c>
      <c r="V20" s="41">
        <v>0</v>
      </c>
      <c r="W20" s="41">
        <v>0.15590753908669405</v>
      </c>
      <c r="X20" s="41">
        <v>0.36807695781597327</v>
      </c>
      <c r="Y20" s="41">
        <v>0</v>
      </c>
      <c r="Z20" s="41">
        <v>0.35184229897042296</v>
      </c>
      <c r="AA20" s="41">
        <v>0</v>
      </c>
      <c r="AB20" s="41">
        <v>0</v>
      </c>
      <c r="AC20" s="41">
        <v>0</v>
      </c>
      <c r="AD20" s="42">
        <v>0.1590200325007457</v>
      </c>
      <c r="AE20" s="42">
        <v>3.0253552829931842E-2</v>
      </c>
      <c r="AF20" s="42">
        <v>0.17393548467731315</v>
      </c>
      <c r="AG20" s="16">
        <v>1.0000000000000002</v>
      </c>
    </row>
    <row r="21" spans="4:35" ht="18.75">
      <c r="D21" s="16" t="s">
        <v>6</v>
      </c>
      <c r="E21" s="17">
        <v>2.4124433582444801E-2</v>
      </c>
      <c r="F21" s="17">
        <v>5.8405783621232346E-2</v>
      </c>
      <c r="G21" s="17">
        <v>5.2010369222846818E-2</v>
      </c>
      <c r="H21" s="17">
        <v>3.8753877398597654E-2</v>
      </c>
      <c r="I21" s="17">
        <v>2.2574916385777369E-2</v>
      </c>
      <c r="J21" s="17">
        <v>0.16994401199378861</v>
      </c>
      <c r="K21" s="17">
        <v>4.7091705499690176E-2</v>
      </c>
      <c r="L21" s="17">
        <v>9.6754478074858041E-2</v>
      </c>
      <c r="M21" s="17">
        <v>4.0148541371371534E-2</v>
      </c>
      <c r="N21" s="17">
        <v>5.2229814909422148E-2</v>
      </c>
      <c r="Q21" s="30">
        <v>0.19797227828042013</v>
      </c>
      <c r="S21" t="s">
        <v>111</v>
      </c>
      <c r="T21" s="39">
        <v>0.103920317243648</v>
      </c>
      <c r="U21" s="39">
        <v>0</v>
      </c>
      <c r="V21" s="39">
        <v>0.1109175717049682</v>
      </c>
      <c r="W21" s="39">
        <v>0.18165968911737013</v>
      </c>
      <c r="X21" s="39">
        <v>0.29895298373761248</v>
      </c>
      <c r="Y21" s="39">
        <v>0</v>
      </c>
      <c r="Z21" s="39">
        <v>0.29671502011310447</v>
      </c>
      <c r="AA21" s="39">
        <v>0</v>
      </c>
      <c r="AB21" s="39">
        <v>7.8344180832960169E-3</v>
      </c>
      <c r="AC21" s="39">
        <v>0</v>
      </c>
      <c r="AD21" s="13">
        <v>0.20000000099236942</v>
      </c>
      <c r="AE21" s="13">
        <v>3.2921479120782346E-2</v>
      </c>
      <c r="AF21" s="13">
        <v>0.18144277092455996</v>
      </c>
      <c r="AG21">
        <v>0.99999999999999967</v>
      </c>
    </row>
    <row r="22" spans="4:35" ht="18.75">
      <c r="D22" s="16" t="s">
        <v>7</v>
      </c>
      <c r="E22" s="17">
        <v>2.7718185836045246E-2</v>
      </c>
      <c r="F22" s="17">
        <v>4.2380449613112284E-2</v>
      </c>
      <c r="G22" s="17">
        <v>4.2856643250092162E-2</v>
      </c>
      <c r="H22" s="17">
        <v>3.33260938181539E-2</v>
      </c>
      <c r="I22" s="17">
        <v>1.4751655824042136E-2</v>
      </c>
      <c r="J22" s="17">
        <v>4.7091705499690176E-2</v>
      </c>
      <c r="K22" s="17">
        <v>4.6004026366846126E-2</v>
      </c>
      <c r="L22" s="17">
        <v>7.456491638552927E-2</v>
      </c>
      <c r="M22" s="17">
        <v>4.6483274352458373E-2</v>
      </c>
      <c r="N22" s="17">
        <v>5.320589058149576E-2</v>
      </c>
      <c r="Q22" s="30">
        <v>0.18313394942995301</v>
      </c>
      <c r="S22" t="s">
        <v>112</v>
      </c>
      <c r="T22" s="39">
        <v>8.6210169990138336E-2</v>
      </c>
      <c r="U22" s="39">
        <v>0</v>
      </c>
      <c r="V22" s="39">
        <v>0.2310598705548744</v>
      </c>
      <c r="W22" s="39">
        <v>0.17502388113565456</v>
      </c>
      <c r="X22" s="39">
        <v>0.24031627493737792</v>
      </c>
      <c r="Y22" s="39">
        <v>0</v>
      </c>
      <c r="Z22" s="39">
        <v>0.19285805297697997</v>
      </c>
      <c r="AA22" s="39">
        <v>0</v>
      </c>
      <c r="AB22" s="39">
        <v>7.4531750404974645E-2</v>
      </c>
      <c r="AC22" s="39">
        <v>0</v>
      </c>
      <c r="AD22" s="13">
        <v>0.25000000303278369</v>
      </c>
      <c r="AE22" s="13">
        <v>3.921399746527654E-2</v>
      </c>
      <c r="AF22" s="13">
        <v>0.19802524451512879</v>
      </c>
      <c r="AG22">
        <v>0.99999999999999989</v>
      </c>
    </row>
    <row r="23" spans="4:35" ht="18.75">
      <c r="D23" s="16" t="s">
        <v>8</v>
      </c>
      <c r="E23" s="17">
        <v>6.3054371665311582E-2</v>
      </c>
      <c r="F23" s="17">
        <v>0.10089767239510949</v>
      </c>
      <c r="G23" s="17">
        <v>9.1850410228705145E-2</v>
      </c>
      <c r="H23" s="17">
        <v>7.051006263940518E-2</v>
      </c>
      <c r="I23" s="17">
        <v>2.82257235284951E-2</v>
      </c>
      <c r="J23" s="17">
        <v>9.6754478074858041E-2</v>
      </c>
      <c r="K23" s="17">
        <v>7.456491638552927E-2</v>
      </c>
      <c r="L23" s="17">
        <v>0.23515429883138378</v>
      </c>
      <c r="M23" s="17">
        <v>9.0757102718073565E-2</v>
      </c>
      <c r="N23" s="17">
        <v>0.1150556851216066</v>
      </c>
      <c r="Q23" s="30">
        <v>0.5117434866874192</v>
      </c>
      <c r="S23" t="s">
        <v>113</v>
      </c>
      <c r="T23" s="39">
        <v>6.8500034015776215E-2</v>
      </c>
      <c r="U23" s="39">
        <v>0</v>
      </c>
      <c r="V23" s="39">
        <v>0.3512021728209902</v>
      </c>
      <c r="W23" s="39">
        <v>0.16838798225661863</v>
      </c>
      <c r="X23" s="39">
        <v>0.1816795242061639</v>
      </c>
      <c r="Y23" s="39">
        <v>0</v>
      </c>
      <c r="Z23" s="39">
        <v>8.9001231767157574E-2</v>
      </c>
      <c r="AA23" s="39">
        <v>0</v>
      </c>
      <c r="AB23" s="39">
        <v>0.14122905493329357</v>
      </c>
      <c r="AC23" s="39">
        <v>0</v>
      </c>
      <c r="AD23" s="13">
        <v>0.29999999926761167</v>
      </c>
      <c r="AE23" s="13">
        <v>4.8496809558001702E-2</v>
      </c>
      <c r="AF23" s="13">
        <v>0.22021991181090256</v>
      </c>
      <c r="AG23">
        <v>1</v>
      </c>
    </row>
    <row r="24" spans="4:35" ht="18.75">
      <c r="D24" s="16" t="s">
        <v>9</v>
      </c>
      <c r="E24" s="17">
        <v>3.578484118147339E-2</v>
      </c>
      <c r="F24" s="17">
        <v>4.6696533272494033E-2</v>
      </c>
      <c r="G24" s="17">
        <v>5.1311450865295788E-2</v>
      </c>
      <c r="H24" s="17">
        <v>3.8062049819257135E-2</v>
      </c>
      <c r="I24" s="17">
        <v>2.8837759668822543E-2</v>
      </c>
      <c r="J24" s="17">
        <v>4.0148541371371534E-2</v>
      </c>
      <c r="K24" s="17">
        <v>4.6483274352458373E-2</v>
      </c>
      <c r="L24" s="17">
        <v>9.0757102718073565E-2</v>
      </c>
      <c r="M24" s="17">
        <v>0.11751992393838723</v>
      </c>
      <c r="N24" s="17">
        <v>6.0978646787576044E-2</v>
      </c>
      <c r="Q24" s="30">
        <v>0.3404330831838227</v>
      </c>
      <c r="S24" t="s">
        <v>114</v>
      </c>
      <c r="T24" s="39">
        <v>3.9304134636204358E-2</v>
      </c>
      <c r="U24" s="39">
        <v>0</v>
      </c>
      <c r="V24" s="39">
        <v>0.452598964935707</v>
      </c>
      <c r="W24" s="39">
        <v>0.15448694384735456</v>
      </c>
      <c r="X24" s="39">
        <v>0.13476724378995228</v>
      </c>
      <c r="Y24" s="39">
        <v>0</v>
      </c>
      <c r="Z24" s="39">
        <v>0</v>
      </c>
      <c r="AA24" s="39">
        <v>2.7777052365283463E-2</v>
      </c>
      <c r="AB24" s="39">
        <v>0.19106566042549841</v>
      </c>
      <c r="AC24" s="39">
        <v>0</v>
      </c>
      <c r="AD24" s="13">
        <v>0.34999999917168145</v>
      </c>
      <c r="AE24" s="13">
        <v>6.0669693551988063E-2</v>
      </c>
      <c r="AF24" s="13">
        <v>0.24631218717714326</v>
      </c>
      <c r="AG24">
        <v>1.0000000000000002</v>
      </c>
    </row>
    <row r="25" spans="4:35" ht="18.75">
      <c r="D25" s="16" t="s">
        <v>10</v>
      </c>
      <c r="E25" s="17">
        <v>8.5253063175367988E-2</v>
      </c>
      <c r="F25" s="17">
        <v>0.1066443547129709</v>
      </c>
      <c r="G25" s="17">
        <v>8.3582925671682823E-2</v>
      </c>
      <c r="H25" s="17">
        <v>7.4127260225343675E-2</v>
      </c>
      <c r="I25" s="17">
        <v>2.2093940032724066E-2</v>
      </c>
      <c r="J25" s="17">
        <v>5.2229814909422148E-2</v>
      </c>
      <c r="K25" s="17">
        <v>5.320589058149576E-2</v>
      </c>
      <c r="L25" s="17">
        <v>0.1150556851216066</v>
      </c>
      <c r="M25" s="17">
        <v>6.0978646787576057E-2</v>
      </c>
      <c r="N25" s="17">
        <v>0.36666532789124773</v>
      </c>
      <c r="Q25" s="30">
        <v>0.21600123768460991</v>
      </c>
      <c r="S25" t="s">
        <v>115</v>
      </c>
      <c r="T25" s="39">
        <v>0</v>
      </c>
      <c r="U25" s="39">
        <v>0</v>
      </c>
      <c r="V25" s="39">
        <v>0.55503809188807596</v>
      </c>
      <c r="W25" s="39">
        <v>0.102063721130425</v>
      </c>
      <c r="X25" s="39">
        <v>5.8381001334850961E-2</v>
      </c>
      <c r="Y25" s="39">
        <v>0</v>
      </c>
      <c r="Z25" s="39">
        <v>0</v>
      </c>
      <c r="AA25" s="39">
        <v>6.2707806435353161E-2</v>
      </c>
      <c r="AB25" s="39">
        <v>0.22180937921129493</v>
      </c>
      <c r="AC25" s="39">
        <v>0</v>
      </c>
      <c r="AD25" s="13">
        <v>0.40000099920750437</v>
      </c>
      <c r="AE25" s="13">
        <v>7.5853785407201113E-2</v>
      </c>
      <c r="AF25" s="13">
        <v>0.27541565933548717</v>
      </c>
      <c r="AG25">
        <v>0.99999999999999989</v>
      </c>
    </row>
    <row r="26" spans="4:35">
      <c r="S26" t="s">
        <v>116</v>
      </c>
      <c r="T26" s="39">
        <v>0</v>
      </c>
      <c r="U26" s="39">
        <v>0</v>
      </c>
      <c r="V26" s="39">
        <v>0.67764469212206468</v>
      </c>
      <c r="W26" s="39">
        <v>0</v>
      </c>
      <c r="X26" s="39">
        <v>0</v>
      </c>
      <c r="Y26" s="39">
        <v>0</v>
      </c>
      <c r="Z26" s="39">
        <v>0</v>
      </c>
      <c r="AA26" s="39">
        <v>0.1219608555425363</v>
      </c>
      <c r="AB26" s="39">
        <v>0.20039445233539907</v>
      </c>
      <c r="AC26" s="39">
        <v>0</v>
      </c>
      <c r="AD26" s="13">
        <v>0.44999999893075576</v>
      </c>
      <c r="AE26" s="13">
        <v>9.4793416126620109E-2</v>
      </c>
      <c r="AF26" s="13">
        <v>0.30788539446784435</v>
      </c>
      <c r="AG26">
        <v>1</v>
      </c>
    </row>
    <row r="27" spans="4:35">
      <c r="S27" t="s">
        <v>117</v>
      </c>
      <c r="T27" s="39">
        <v>0</v>
      </c>
      <c r="U27" s="39">
        <v>0</v>
      </c>
      <c r="V27" s="39">
        <v>0.29028816739865643</v>
      </c>
      <c r="W27" s="39">
        <v>0</v>
      </c>
      <c r="X27" s="39">
        <v>0</v>
      </c>
      <c r="Y27" s="39">
        <v>0</v>
      </c>
      <c r="Z27" s="39">
        <v>0</v>
      </c>
      <c r="AA27" s="39">
        <v>0.70971183260134363</v>
      </c>
      <c r="AB27" s="39">
        <v>0</v>
      </c>
      <c r="AC27" s="39">
        <v>0</v>
      </c>
      <c r="AD27" s="13">
        <v>0.50000000000033462</v>
      </c>
      <c r="AE27" s="13">
        <v>0.16602125405086493</v>
      </c>
      <c r="AF27" s="13">
        <v>0.40745705792250664</v>
      </c>
      <c r="AG27">
        <v>1</v>
      </c>
    </row>
    <row r="28" spans="4:35">
      <c r="S28" t="s">
        <v>118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0.99999999999999989</v>
      </c>
      <c r="AB28" s="39">
        <v>0</v>
      </c>
      <c r="AC28" s="39">
        <v>0</v>
      </c>
      <c r="AD28" s="13">
        <v>0.51174348668741909</v>
      </c>
      <c r="AE28" s="13">
        <v>0.23515429883138372</v>
      </c>
      <c r="AF28" s="13">
        <v>0.48492710671953959</v>
      </c>
      <c r="AG28">
        <v>0.99999999999999989</v>
      </c>
    </row>
    <row r="29" spans="4:35">
      <c r="S29" s="16" t="s">
        <v>119</v>
      </c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42">
        <v>0.04</v>
      </c>
      <c r="AE29" s="42"/>
      <c r="AF29" s="42">
        <v>0</v>
      </c>
    </row>
    <row r="30" spans="4:35"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 spans="4:35">
      <c r="T31" s="39">
        <v>0</v>
      </c>
      <c r="U31" s="39">
        <v>0</v>
      </c>
      <c r="V31" s="39">
        <v>0.737343166587903</v>
      </c>
      <c r="W31" s="39">
        <v>0</v>
      </c>
      <c r="X31" s="39">
        <v>0</v>
      </c>
      <c r="Y31" s="39">
        <v>0</v>
      </c>
      <c r="Z31" s="39">
        <v>0</v>
      </c>
      <c r="AA31" s="39">
        <v>0.26265683341209722</v>
      </c>
      <c r="AB31" s="39">
        <v>0</v>
      </c>
      <c r="AC31" s="39">
        <v>0</v>
      </c>
      <c r="AD31" s="13">
        <v>0.4819145765453593</v>
      </c>
      <c r="AE31" s="13">
        <v>0.11457570075369511</v>
      </c>
      <c r="AF31" s="13">
        <v>0.33849032593812056</v>
      </c>
      <c r="AG31">
        <v>1.0000000000000002</v>
      </c>
      <c r="AH31">
        <v>200</v>
      </c>
      <c r="AI31" s="13">
        <v>0.36733887579166419</v>
      </c>
    </row>
    <row r="32" spans="4:35">
      <c r="T32" s="40">
        <v>0</v>
      </c>
      <c r="U32" s="39">
        <v>0</v>
      </c>
      <c r="V32" s="39">
        <v>0.68873524457694124</v>
      </c>
      <c r="W32" s="39">
        <v>0</v>
      </c>
      <c r="X32" s="39">
        <v>0</v>
      </c>
      <c r="Y32" s="39">
        <v>0</v>
      </c>
      <c r="Z32" s="39">
        <v>0</v>
      </c>
      <c r="AA32" s="39">
        <v>0.13576368418911922</v>
      </c>
      <c r="AB32" s="39">
        <v>0.17550107123393974</v>
      </c>
      <c r="AC32" s="39">
        <v>0</v>
      </c>
      <c r="AD32" s="13">
        <v>0.45381583041987406</v>
      </c>
      <c r="AE32" s="13">
        <v>9.66320829320131E-2</v>
      </c>
      <c r="AF32" s="13">
        <v>0.31085701364455831</v>
      </c>
      <c r="AG32" s="37">
        <v>1</v>
      </c>
      <c r="AH32">
        <v>400</v>
      </c>
      <c r="AI32" s="13">
        <v>0.26055166455584788</v>
      </c>
    </row>
    <row r="33" spans="19:35">
      <c r="T33" s="39">
        <v>0</v>
      </c>
      <c r="U33" s="39">
        <v>0</v>
      </c>
      <c r="V33" s="39">
        <v>0.54889667706202883</v>
      </c>
      <c r="W33" s="39">
        <v>0.10597422510809958</v>
      </c>
      <c r="X33" s="39">
        <v>6.4106624284116398E-2</v>
      </c>
      <c r="Y33" s="39">
        <v>0</v>
      </c>
      <c r="Z33" s="39">
        <v>0</v>
      </c>
      <c r="AA33" s="39">
        <v>6.0887879978783532E-2</v>
      </c>
      <c r="AB33" s="39">
        <v>0.2201345935669721</v>
      </c>
      <c r="AC33" s="39">
        <v>0</v>
      </c>
      <c r="AD33" s="13">
        <v>0.39713971814325266</v>
      </c>
      <c r="AE33" s="13">
        <v>7.4894286827991194E-2</v>
      </c>
      <c r="AF33" s="13">
        <v>0.27366820573093836</v>
      </c>
      <c r="AG33">
        <v>1.0000000000000004</v>
      </c>
      <c r="AH33">
        <v>600</v>
      </c>
      <c r="AI33" s="13">
        <v>0.17245685765927909</v>
      </c>
    </row>
    <row r="34" spans="19:35">
      <c r="S34" s="16" t="s">
        <v>20</v>
      </c>
      <c r="T34" s="41">
        <v>2.5989442050399002E-2</v>
      </c>
      <c r="U34" s="41">
        <v>0</v>
      </c>
      <c r="V34" s="41">
        <v>0.47501974157141491</v>
      </c>
      <c r="W34" s="41">
        <v>0.14450369445422295</v>
      </c>
      <c r="X34" s="41">
        <v>0.12041573537610309</v>
      </c>
      <c r="Y34" s="41">
        <v>0</v>
      </c>
      <c r="Z34" s="41">
        <v>0</v>
      </c>
      <c r="AA34" s="41">
        <v>3.5991036632313865E-2</v>
      </c>
      <c r="AB34" s="41">
        <v>0.1980803499155466</v>
      </c>
      <c r="AC34" s="41">
        <v>0</v>
      </c>
      <c r="AD34" s="42">
        <v>0.36120622842906364</v>
      </c>
      <c r="AE34" s="42">
        <v>6.3791324539763605E-2</v>
      </c>
      <c r="AF34" s="42">
        <v>0.25256944498447076</v>
      </c>
      <c r="AG34" s="16">
        <v>1.0000000000000004</v>
      </c>
      <c r="AH34" s="16">
        <v>700</v>
      </c>
      <c r="AI34" s="42">
        <v>0.13793659253989102</v>
      </c>
    </row>
    <row r="35" spans="19:35">
      <c r="T35" s="39">
        <v>4.3668874344882029E-2</v>
      </c>
      <c r="U35" s="39">
        <v>0</v>
      </c>
      <c r="V35" s="39">
        <v>0.44525003115762285</v>
      </c>
      <c r="W35" s="39">
        <v>0.15763666357415096</v>
      </c>
      <c r="X35" s="39">
        <v>0.13973265692397763</v>
      </c>
      <c r="Y35" s="39">
        <v>0</v>
      </c>
      <c r="Z35" s="39">
        <v>0</v>
      </c>
      <c r="AA35" s="39">
        <v>2.5123424047885024E-2</v>
      </c>
      <c r="AB35" s="39">
        <v>0.18858834995148191</v>
      </c>
      <c r="AC35" s="39">
        <v>0</v>
      </c>
      <c r="AD35" s="13">
        <v>0.34628278441832894</v>
      </c>
      <c r="AE35" s="13">
        <v>5.9669621438027051E-2</v>
      </c>
      <c r="AF35" s="13">
        <v>0.24427366095841577</v>
      </c>
      <c r="AG35">
        <v>1.0000000000000004</v>
      </c>
      <c r="AH35">
        <v>750</v>
      </c>
      <c r="AI35" s="13">
        <v>0.12252170402572748</v>
      </c>
    </row>
    <row r="36" spans="19:35">
      <c r="T36" s="39">
        <v>5.5005803323981917E-2</v>
      </c>
      <c r="U36" s="39">
        <v>0</v>
      </c>
      <c r="V36" s="39">
        <v>0.41696040741907453</v>
      </c>
      <c r="W36" s="39">
        <v>0.16419159589558305</v>
      </c>
      <c r="X36" s="39">
        <v>0.15303655330243648</v>
      </c>
      <c r="Y36" s="39">
        <v>0</v>
      </c>
      <c r="Z36" s="39">
        <v>2.0721313152679392E-2</v>
      </c>
      <c r="AA36" s="39">
        <v>1.3447150744022E-2</v>
      </c>
      <c r="AB36" s="39">
        <v>0.17663717616222302</v>
      </c>
      <c r="AC36" s="39">
        <v>0</v>
      </c>
      <c r="AD36" s="13">
        <v>0.33140443511801371</v>
      </c>
      <c r="AE36" s="13">
        <v>5.5831997187387752E-2</v>
      </c>
      <c r="AF36" s="13">
        <v>0.23628795396166041</v>
      </c>
      <c r="AG36">
        <v>1.0000000000000004</v>
      </c>
      <c r="AH36">
        <v>800</v>
      </c>
      <c r="AI36" s="13">
        <v>0.1080764463684627</v>
      </c>
    </row>
    <row r="37" spans="19:35">
      <c r="T37" s="39">
        <v>7.3107571525569126E-2</v>
      </c>
      <c r="U37" s="39">
        <v>0</v>
      </c>
      <c r="V37" s="39">
        <v>0.3199457868305231</v>
      </c>
      <c r="W37" s="39">
        <v>0.17011435361520519</v>
      </c>
      <c r="X37" s="39">
        <v>0.19693454869984092</v>
      </c>
      <c r="Y37" s="39">
        <v>0</v>
      </c>
      <c r="Z37" s="39">
        <v>0.11602082186574984</v>
      </c>
      <c r="AA37" s="39">
        <v>0</v>
      </c>
      <c r="AB37" s="39">
        <v>0.12387691746311232</v>
      </c>
      <c r="AC37" s="39">
        <v>0</v>
      </c>
      <c r="AD37" s="13">
        <v>0.28699191603355706</v>
      </c>
      <c r="AE37" s="13">
        <v>4.5793995220041725E-2</v>
      </c>
      <c r="AF37" s="13">
        <v>0.21399531588341303</v>
      </c>
      <c r="AG37">
        <v>1.0000000000000004</v>
      </c>
      <c r="AH37">
        <v>1000</v>
      </c>
      <c r="AI37" s="13">
        <v>5.8021939933348421E-2</v>
      </c>
    </row>
    <row r="38" spans="19:35">
      <c r="T38" s="39">
        <v>8.2978459602870674E-2</v>
      </c>
      <c r="U38" s="39">
        <v>0</v>
      </c>
      <c r="V38" s="39">
        <v>0.25298341744687558</v>
      </c>
      <c r="W38" s="39">
        <v>0.17381289789840912</v>
      </c>
      <c r="X38" s="39">
        <v>0.22961624830094735</v>
      </c>
      <c r="Y38" s="39">
        <v>0</v>
      </c>
      <c r="Z38" s="39">
        <v>0.17390636353349165</v>
      </c>
      <c r="AA38" s="39">
        <v>0</v>
      </c>
      <c r="AB38" s="39">
        <v>8.6702613217406049E-2</v>
      </c>
      <c r="AC38" s="39">
        <v>0</v>
      </c>
      <c r="AD38" s="13">
        <v>0.25912398127838315</v>
      </c>
      <c r="AE38" s="13">
        <v>4.0684873883198601E-2</v>
      </c>
      <c r="AF38" s="13">
        <v>0.20170491784584382</v>
      </c>
      <c r="AG38">
        <v>1.0000000000000004</v>
      </c>
      <c r="AH38">
        <v>1200</v>
      </c>
      <c r="AI38" s="13">
        <v>1.5014737979191561E-2</v>
      </c>
    </row>
    <row r="43" spans="19:35">
      <c r="T43"/>
    </row>
  </sheetData>
  <mergeCells count="1">
    <mergeCell ref="T13:AC13"/>
  </mergeCells>
  <phoneticPr fontId="1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858A-BE32-40B4-B1CC-0A55FF35AF7F}">
  <dimension ref="A1:S32"/>
  <sheetViews>
    <sheetView tabSelected="1" topLeftCell="K1" workbookViewId="0">
      <selection activeCell="R4" sqref="R4"/>
    </sheetView>
  </sheetViews>
  <sheetFormatPr defaultRowHeight="15"/>
  <cols>
    <col min="1" max="1" width="20.7109375" customWidth="1"/>
    <col min="10" max="10" width="16" customWidth="1"/>
    <col min="11" max="11" width="35.5703125" customWidth="1"/>
    <col min="12" max="12" width="35.28515625" customWidth="1"/>
    <col min="13" max="13" width="17.28515625" customWidth="1"/>
    <col min="14" max="14" width="51.140625" customWidth="1"/>
    <col min="15" max="15" width="34.42578125" customWidth="1"/>
    <col min="16" max="16" width="35.28515625" customWidth="1"/>
    <col min="17" max="17" width="28.85546875" customWidth="1"/>
    <col min="18" max="18" width="20.5703125" customWidth="1"/>
  </cols>
  <sheetData>
    <row r="1" spans="1:18">
      <c r="A1" s="102" t="s">
        <v>120</v>
      </c>
      <c r="B1" s="16" t="s">
        <v>121</v>
      </c>
      <c r="C1" s="16">
        <v>2019</v>
      </c>
      <c r="D1" s="16">
        <v>2020</v>
      </c>
      <c r="E1" s="16">
        <v>2021</v>
      </c>
      <c r="F1" s="16">
        <v>2022</v>
      </c>
      <c r="G1" s="16">
        <v>2023</v>
      </c>
      <c r="H1" s="16">
        <v>2024</v>
      </c>
      <c r="I1" s="16"/>
      <c r="J1" s="16"/>
      <c r="K1" s="16"/>
      <c r="L1" s="16"/>
      <c r="M1" s="16"/>
      <c r="N1" s="16"/>
      <c r="O1" s="16"/>
    </row>
    <row r="2" spans="1:18">
      <c r="B2" t="s">
        <v>1</v>
      </c>
      <c r="C2">
        <v>96.34</v>
      </c>
      <c r="D2" t="s">
        <v>122</v>
      </c>
      <c r="E2" t="s">
        <v>123</v>
      </c>
      <c r="F2" t="s">
        <v>124</v>
      </c>
      <c r="G2" t="s">
        <v>125</v>
      </c>
      <c r="H2">
        <v>38.54</v>
      </c>
    </row>
    <row r="3" spans="1:18">
      <c r="B3" t="s">
        <v>2</v>
      </c>
      <c r="C3">
        <v>142</v>
      </c>
      <c r="D3">
        <v>118</v>
      </c>
      <c r="E3">
        <v>117</v>
      </c>
      <c r="F3">
        <v>95</v>
      </c>
      <c r="G3">
        <v>82</v>
      </c>
      <c r="H3">
        <v>78</v>
      </c>
    </row>
    <row r="4" spans="1:18">
      <c r="B4" t="s">
        <v>3</v>
      </c>
      <c r="C4" t="s">
        <v>126</v>
      </c>
      <c r="D4" t="s">
        <v>126</v>
      </c>
      <c r="E4" t="s">
        <v>126</v>
      </c>
      <c r="F4" t="s">
        <v>126</v>
      </c>
      <c r="G4">
        <v>51.59</v>
      </c>
      <c r="H4">
        <v>46.75</v>
      </c>
      <c r="I4" s="16"/>
      <c r="J4" s="16"/>
      <c r="K4" s="16" t="s">
        <v>121</v>
      </c>
      <c r="L4" s="102" t="s">
        <v>127</v>
      </c>
      <c r="M4" s="102" t="s">
        <v>128</v>
      </c>
      <c r="N4" s="103" t="s">
        <v>129</v>
      </c>
      <c r="O4" s="102" t="s">
        <v>130</v>
      </c>
      <c r="P4" s="102" t="s">
        <v>131</v>
      </c>
      <c r="R4" s="102" t="s">
        <v>132</v>
      </c>
    </row>
    <row r="5" spans="1:18">
      <c r="B5" t="s">
        <v>4</v>
      </c>
      <c r="C5">
        <v>55.3</v>
      </c>
      <c r="D5" t="s">
        <v>133</v>
      </c>
      <c r="E5" t="s">
        <v>134</v>
      </c>
      <c r="F5" t="s">
        <v>135</v>
      </c>
      <c r="G5" t="s">
        <v>136</v>
      </c>
      <c r="H5">
        <v>34.44</v>
      </c>
      <c r="K5" t="s">
        <v>1</v>
      </c>
      <c r="L5">
        <v>38.54</v>
      </c>
      <c r="M5" s="98">
        <v>0.03</v>
      </c>
      <c r="N5">
        <f>L5*M5</f>
        <v>1.1561999999999999</v>
      </c>
      <c r="O5">
        <f>((H2/C2)^(1/5))-1</f>
        <v>-0.16742950967011638</v>
      </c>
      <c r="P5">
        <f>M5*O5</f>
        <v>-5.0228852901034911E-3</v>
      </c>
      <c r="R5">
        <v>73</v>
      </c>
    </row>
    <row r="6" spans="1:18">
      <c r="B6" t="s">
        <v>7</v>
      </c>
      <c r="C6">
        <v>94.13</v>
      </c>
      <c r="D6" t="s">
        <v>137</v>
      </c>
      <c r="E6" t="s">
        <v>138</v>
      </c>
      <c r="F6" t="s">
        <v>139</v>
      </c>
      <c r="G6" t="s">
        <v>140</v>
      </c>
      <c r="H6">
        <v>61.77</v>
      </c>
      <c r="K6" t="s">
        <v>4</v>
      </c>
      <c r="L6">
        <v>34.44</v>
      </c>
      <c r="M6" s="98">
        <v>0.14000000000000001</v>
      </c>
      <c r="N6">
        <f>L6*M6</f>
        <v>4.8216000000000001</v>
      </c>
      <c r="O6">
        <f t="shared" ref="O6:O14" si="0">((H3/C3)^(1/5))-1</f>
        <v>-0.11292313768514095</v>
      </c>
      <c r="P6">
        <f t="shared" ref="P6:P14" si="1">M6*O6</f>
        <v>-1.5809239275919734E-2</v>
      </c>
      <c r="R6">
        <v>81</v>
      </c>
    </row>
    <row r="7" spans="1:18">
      <c r="B7" t="s">
        <v>8</v>
      </c>
      <c r="C7">
        <v>158.96</v>
      </c>
      <c r="D7" t="s">
        <v>141</v>
      </c>
      <c r="E7" t="s">
        <v>142</v>
      </c>
      <c r="F7" t="s">
        <v>143</v>
      </c>
      <c r="G7" t="s">
        <v>144</v>
      </c>
      <c r="H7">
        <v>59.72</v>
      </c>
      <c r="K7" t="s">
        <v>7</v>
      </c>
      <c r="L7">
        <v>61.77</v>
      </c>
      <c r="M7" s="98">
        <v>0</v>
      </c>
      <c r="N7">
        <f>L7*M7</f>
        <v>0</v>
      </c>
      <c r="O7">
        <f>((H4/G4)^(1/5))-1</f>
        <v>-1.9509889820865767E-2</v>
      </c>
      <c r="P7">
        <f t="shared" si="1"/>
        <v>0</v>
      </c>
      <c r="R7">
        <v>87</v>
      </c>
    </row>
    <row r="8" spans="1:18">
      <c r="B8" t="s">
        <v>9</v>
      </c>
      <c r="C8">
        <v>44.7</v>
      </c>
      <c r="D8" t="s">
        <v>145</v>
      </c>
      <c r="E8" t="s">
        <v>146</v>
      </c>
      <c r="F8" t="s">
        <v>147</v>
      </c>
      <c r="G8" t="s">
        <v>148</v>
      </c>
      <c r="H8">
        <v>50.74</v>
      </c>
      <c r="K8" t="s">
        <v>8</v>
      </c>
      <c r="L8">
        <v>59.72</v>
      </c>
      <c r="M8" s="98">
        <v>0.04</v>
      </c>
      <c r="N8">
        <f>L8*M8</f>
        <v>2.3887999999999998</v>
      </c>
      <c r="O8">
        <f>((H5/C5)^(1/5))-1</f>
        <v>-9.0364078502648382E-2</v>
      </c>
      <c r="P8">
        <f t="shared" si="1"/>
        <v>-3.6145631401059354E-3</v>
      </c>
      <c r="R8">
        <v>75</v>
      </c>
    </row>
    <row r="9" spans="1:18">
      <c r="B9" t="s">
        <v>10</v>
      </c>
      <c r="C9" t="s">
        <v>126</v>
      </c>
      <c r="D9" t="s">
        <v>126</v>
      </c>
      <c r="E9" t="s">
        <v>149</v>
      </c>
      <c r="F9" t="s">
        <v>150</v>
      </c>
      <c r="G9">
        <v>510</v>
      </c>
      <c r="H9">
        <v>562.66999999999996</v>
      </c>
      <c r="K9" t="s">
        <v>3</v>
      </c>
      <c r="L9">
        <v>46.75</v>
      </c>
      <c r="M9" s="98">
        <v>0.48</v>
      </c>
      <c r="N9">
        <f t="shared" ref="N9:N14" si="2">L9*M9</f>
        <v>22.439999999999998</v>
      </c>
      <c r="O9">
        <f>((H6/C6)^(1/5))-1</f>
        <v>-8.0800226787453133E-2</v>
      </c>
      <c r="P9">
        <f t="shared" si="1"/>
        <v>-3.8784108857977499E-2</v>
      </c>
      <c r="R9">
        <v>76</v>
      </c>
    </row>
    <row r="10" spans="1:18">
      <c r="B10" t="s">
        <v>6</v>
      </c>
      <c r="C10">
        <v>57.68</v>
      </c>
      <c r="D10" t="s">
        <v>151</v>
      </c>
      <c r="E10" t="s">
        <v>152</v>
      </c>
      <c r="F10" t="s">
        <v>153</v>
      </c>
      <c r="G10" t="s">
        <v>154</v>
      </c>
      <c r="H10">
        <v>50.26</v>
      </c>
      <c r="K10" t="s">
        <v>9</v>
      </c>
      <c r="L10">
        <v>50.74</v>
      </c>
      <c r="M10" s="98">
        <v>0.2</v>
      </c>
      <c r="N10">
        <f t="shared" si="2"/>
        <v>10.148000000000001</v>
      </c>
      <c r="O10">
        <f>((H7/C7)^(1/5))-1</f>
        <v>-0.17782098276641145</v>
      </c>
      <c r="P10">
        <f t="shared" si="1"/>
        <v>-3.5564196553282294E-2</v>
      </c>
      <c r="R10">
        <v>47</v>
      </c>
    </row>
    <row r="11" spans="1:18">
      <c r="B11" t="s">
        <v>5</v>
      </c>
      <c r="C11">
        <v>29.79</v>
      </c>
      <c r="D11">
        <v>23.93</v>
      </c>
      <c r="E11">
        <v>26.19</v>
      </c>
      <c r="F11">
        <v>22.78</v>
      </c>
      <c r="G11">
        <v>20.14</v>
      </c>
      <c r="H11">
        <v>16.47</v>
      </c>
      <c r="K11" t="s">
        <v>6</v>
      </c>
      <c r="L11">
        <v>50.26</v>
      </c>
      <c r="M11" s="98">
        <v>0</v>
      </c>
      <c r="N11">
        <f t="shared" si="2"/>
        <v>0</v>
      </c>
      <c r="O11">
        <f>((H8/C8)^(1/5))-1</f>
        <v>2.567220819301963E-2</v>
      </c>
      <c r="P11">
        <f t="shared" si="1"/>
        <v>0</v>
      </c>
      <c r="R11">
        <v>56</v>
      </c>
    </row>
    <row r="12" spans="1:18">
      <c r="K12" t="s">
        <v>10</v>
      </c>
      <c r="L12">
        <v>562.66999999999996</v>
      </c>
      <c r="M12" s="98"/>
      <c r="N12">
        <f t="shared" si="2"/>
        <v>0</v>
      </c>
      <c r="O12">
        <f>((H9/G9)^(1/5))-1</f>
        <v>1.9850978369148065E-2</v>
      </c>
      <c r="P12">
        <f t="shared" si="1"/>
        <v>0</v>
      </c>
      <c r="R12">
        <v>68</v>
      </c>
    </row>
    <row r="13" spans="1:18">
      <c r="A13" s="16"/>
      <c r="B13" s="16"/>
      <c r="C13" s="16"/>
      <c r="D13" s="16"/>
      <c r="E13" s="16"/>
      <c r="F13" s="16"/>
      <c r="G13" s="16"/>
      <c r="K13" t="s">
        <v>5</v>
      </c>
      <c r="L13">
        <v>16.47</v>
      </c>
      <c r="M13" s="98">
        <v>0.12</v>
      </c>
      <c r="N13">
        <f>L13*M13</f>
        <v>1.9763999999999997</v>
      </c>
      <c r="O13">
        <f t="shared" si="0"/>
        <v>-2.7164418607578789E-2</v>
      </c>
      <c r="P13">
        <f t="shared" si="1"/>
        <v>-3.2597302329094545E-3</v>
      </c>
      <c r="R13">
        <v>74</v>
      </c>
    </row>
    <row r="14" spans="1:18">
      <c r="J14" s="1"/>
      <c r="K14" t="s">
        <v>2</v>
      </c>
      <c r="L14" s="100">
        <v>78</v>
      </c>
      <c r="M14" s="98">
        <v>0</v>
      </c>
      <c r="N14">
        <f t="shared" si="2"/>
        <v>0</v>
      </c>
      <c r="O14">
        <f t="shared" si="0"/>
        <v>-0.11177167341408667</v>
      </c>
      <c r="P14">
        <f t="shared" si="1"/>
        <v>0</v>
      </c>
      <c r="R14">
        <v>72</v>
      </c>
    </row>
    <row r="15" spans="1:18">
      <c r="I15" s="16"/>
      <c r="J15" s="16"/>
      <c r="K15" s="16" t="s">
        <v>155</v>
      </c>
      <c r="L15" s="16"/>
      <c r="M15" s="99"/>
      <c r="N15" s="104">
        <f>SUM(N5:N14)</f>
        <v>42.930999999999997</v>
      </c>
      <c r="O15" s="16"/>
      <c r="P15" s="105">
        <f>SUM(P5:P14)</f>
        <v>-0.10205472335029842</v>
      </c>
    </row>
    <row r="18" spans="1:19">
      <c r="A18" s="16"/>
      <c r="B18" s="16"/>
      <c r="C18" s="16"/>
      <c r="D18" s="16"/>
      <c r="E18" s="16"/>
      <c r="F18" s="16"/>
      <c r="G18" s="16"/>
      <c r="K18" s="102" t="s">
        <v>156</v>
      </c>
      <c r="L18" s="16" t="s">
        <v>65</v>
      </c>
      <c r="M18" s="16" t="s">
        <v>66</v>
      </c>
      <c r="N18" s="102" t="s">
        <v>157</v>
      </c>
      <c r="O18" s="16" t="s">
        <v>158</v>
      </c>
      <c r="P18" s="16" t="s">
        <v>159</v>
      </c>
      <c r="Q18" s="102" t="s">
        <v>160</v>
      </c>
      <c r="R18" s="16" t="s">
        <v>158</v>
      </c>
      <c r="S18" s="16" t="s">
        <v>159</v>
      </c>
    </row>
    <row r="19" spans="1:19">
      <c r="L19" t="s">
        <v>161</v>
      </c>
      <c r="M19" s="1">
        <f>N15</f>
        <v>42.930999999999997</v>
      </c>
      <c r="O19" t="s">
        <v>3</v>
      </c>
      <c r="P19" s="98">
        <v>0.52</v>
      </c>
      <c r="R19" t="s">
        <v>3</v>
      </c>
      <c r="S19" s="98">
        <v>0.52</v>
      </c>
    </row>
    <row r="20" spans="1:19">
      <c r="L20" t="s">
        <v>162</v>
      </c>
      <c r="M20" s="101">
        <f>P15</f>
        <v>-0.10205472335029842</v>
      </c>
      <c r="O20" t="s">
        <v>9</v>
      </c>
      <c r="P20" s="98">
        <v>0.24</v>
      </c>
      <c r="R20" t="s">
        <v>9</v>
      </c>
      <c r="S20" s="98">
        <v>0.24</v>
      </c>
    </row>
    <row r="21" spans="1:19">
      <c r="A21" s="16"/>
      <c r="B21" s="16"/>
      <c r="C21" s="16"/>
      <c r="D21" s="16"/>
      <c r="E21" s="16"/>
      <c r="F21" s="16"/>
      <c r="G21" s="16"/>
      <c r="L21" t="s">
        <v>163</v>
      </c>
      <c r="M21" t="str">
        <f>K9</f>
        <v>AVGO</v>
      </c>
      <c r="O21" t="s">
        <v>4</v>
      </c>
      <c r="P21" s="98">
        <v>0.11</v>
      </c>
      <c r="R21" t="s">
        <v>4</v>
      </c>
      <c r="S21" s="98">
        <v>0.11</v>
      </c>
    </row>
    <row r="22" spans="1:19">
      <c r="L22" t="s">
        <v>164</v>
      </c>
      <c r="M22" t="str">
        <f>K13</f>
        <v>MA</v>
      </c>
    </row>
    <row r="24" spans="1:19">
      <c r="A24" s="16"/>
      <c r="B24" s="16"/>
      <c r="C24" s="16"/>
      <c r="D24" s="16"/>
      <c r="E24" s="16"/>
      <c r="F24" s="16"/>
      <c r="G24" s="16"/>
    </row>
    <row r="27" spans="1:19">
      <c r="I27" s="16"/>
      <c r="J27" s="16"/>
      <c r="K27" s="16"/>
      <c r="L27" s="16"/>
      <c r="M27" s="16"/>
      <c r="N27" s="16"/>
      <c r="O27" s="16"/>
    </row>
    <row r="28" spans="1:19">
      <c r="A28" s="16"/>
      <c r="B28" s="16"/>
      <c r="C28" s="16"/>
      <c r="D28" s="16"/>
      <c r="E28" s="16"/>
    </row>
    <row r="32" spans="1:19">
      <c r="A32" s="16"/>
      <c r="B32" s="16"/>
      <c r="C32" s="16"/>
      <c r="D32" s="16"/>
      <c r="E32" s="16"/>
      <c r="F32" s="16"/>
      <c r="G3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2025-10-16T15:03:57Z</dcterms:created>
  <dcterms:modified xsi:type="dcterms:W3CDTF">2026-03-10T09:50:00Z</dcterms:modified>
  <cp:category/>
  <cp:contentStatus/>
</cp:coreProperties>
</file>